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Cleaned_Data" sheetId="2" r:id="rId6"/>
    <sheet state="visible" name="Charts" sheetId="3" r:id="rId7"/>
    <sheet state="visible" name="README" sheetId="4" r:id="rId8"/>
  </sheets>
  <definedNames/>
  <calcPr/>
  <pivotCaches>
    <pivotCache cacheId="0" r:id="rId9"/>
  </pivotCaches>
</workbook>
</file>

<file path=xl/sharedStrings.xml><?xml version="1.0" encoding="utf-8"?>
<sst xmlns="http://schemas.openxmlformats.org/spreadsheetml/2006/main" count="250" uniqueCount="151">
  <si>
    <t>This dataset contains raw customer data with intentional inconsistencies for data cleaning practice.</t>
  </si>
  <si>
    <t>Product Name</t>
  </si>
  <si>
    <t>Category</t>
  </si>
  <si>
    <t>Price</t>
  </si>
  <si>
    <t>Quantity</t>
  </si>
  <si>
    <t>Supplier</t>
  </si>
  <si>
    <t>Date Ordered</t>
  </si>
  <si>
    <t>Doggie Chew Bone</t>
  </si>
  <si>
    <t>chew toys</t>
  </si>
  <si>
    <t>HappyPaws</t>
  </si>
  <si>
    <t>puppy leash</t>
  </si>
  <si>
    <t>leash</t>
  </si>
  <si>
    <t>DogWorld</t>
  </si>
  <si>
    <t>dog food bag</t>
  </si>
  <si>
    <t>food</t>
  </si>
  <si>
    <t>PetCo</t>
  </si>
  <si>
    <t>Dog Collar Large</t>
  </si>
  <si>
    <t>collar</t>
  </si>
  <si>
    <t>Paws n Claws</t>
  </si>
  <si>
    <t>dog toy squeaky</t>
  </si>
  <si>
    <t>toy</t>
  </si>
  <si>
    <t>DoggieMart</t>
  </si>
  <si>
    <t>puppy Treats</t>
  </si>
  <si>
    <t>treats</t>
  </si>
  <si>
    <t>FurEver</t>
  </si>
  <si>
    <t>Dog Shampoo</t>
  </si>
  <si>
    <t>shampoo</t>
  </si>
  <si>
    <t>PuppySupply</t>
  </si>
  <si>
    <t>chew TOY</t>
  </si>
  <si>
    <t>PetHub</t>
  </si>
  <si>
    <t>dog harness</t>
  </si>
  <si>
    <t>harness</t>
  </si>
  <si>
    <t>BarkShop</t>
  </si>
  <si>
    <t>dog bed soft</t>
  </si>
  <si>
    <t>bed</t>
  </si>
  <si>
    <t>CanineCorner</t>
  </si>
  <si>
    <t>dog toothpaste</t>
  </si>
  <si>
    <t>toothpaste</t>
  </si>
  <si>
    <t>PupStore</t>
  </si>
  <si>
    <t>bone toy</t>
  </si>
  <si>
    <t>puppy blanket</t>
  </si>
  <si>
    <t>blanket</t>
  </si>
  <si>
    <t>Dog Jacket</t>
  </si>
  <si>
    <t>jacket</t>
  </si>
  <si>
    <t>Squeaky ball</t>
  </si>
  <si>
    <t>Dog Food Mini</t>
  </si>
  <si>
    <t>dog training clicker</t>
  </si>
  <si>
    <t>training</t>
  </si>
  <si>
    <t>chew treat</t>
  </si>
  <si>
    <t>dog carrier small</t>
  </si>
  <si>
    <t>carrier</t>
  </si>
  <si>
    <t>puppy pad</t>
  </si>
  <si>
    <t>pads</t>
  </si>
  <si>
    <t>dog grooming brush</t>
  </si>
  <si>
    <t>grooming</t>
  </si>
  <si>
    <t>Dog Bowl Stainless</t>
  </si>
  <si>
    <t>bowl</t>
  </si>
  <si>
    <t>Dog Treat Jar</t>
  </si>
  <si>
    <t>puppy chew rope</t>
  </si>
  <si>
    <t>chew</t>
  </si>
  <si>
    <t>dog leash retractable</t>
  </si>
  <si>
    <t>dog sweater</t>
  </si>
  <si>
    <t>sweater</t>
  </si>
  <si>
    <t>dog hat</t>
  </si>
  <si>
    <t>hat</t>
  </si>
  <si>
    <t>Dog Blanket</t>
  </si>
  <si>
    <t>Dog Snack Bar</t>
  </si>
  <si>
    <t>snacks</t>
  </si>
  <si>
    <t>dog water bottle</t>
  </si>
  <si>
    <t>water bottle</t>
  </si>
  <si>
    <t>puppy chew stick</t>
  </si>
  <si>
    <t>Dog Bowl Large</t>
  </si>
  <si>
    <t>dog nail clippers</t>
  </si>
  <si>
    <t>clippers</t>
  </si>
  <si>
    <t>puppy toy ball</t>
  </si>
  <si>
    <t>dog harness adjustable</t>
  </si>
  <si>
    <t>Dog Jacket XL</t>
  </si>
  <si>
    <t>dog raincoat</t>
  </si>
  <si>
    <t>raincoat</t>
  </si>
  <si>
    <t>Dog Bed King</t>
  </si>
  <si>
    <t>puppy chew ring</t>
  </si>
  <si>
    <t>dog treat box</t>
  </si>
  <si>
    <t>Dog Collar Small</t>
  </si>
  <si>
    <t>This dataset contains cleaned and standardized customer order data with documented data quality fixes.</t>
  </si>
  <si>
    <t>Category (Standardized)</t>
  </si>
  <si>
    <t>Price Range</t>
  </si>
  <si>
    <t>Quantity Range</t>
  </si>
  <si>
    <t>Cleaning Action Taken</t>
  </si>
  <si>
    <t>Capitalization corrected; price formatted</t>
  </si>
  <si>
    <t>N/A</t>
  </si>
  <si>
    <t>Capitalization corrected; marked missing price as N/A</t>
  </si>
  <si>
    <t>This chart shows the number of products in each category, helping identify which product types are most common in the dataset.</t>
  </si>
  <si>
    <t>COUNTA of Product Name</t>
  </si>
  <si>
    <t>Accessories</t>
  </si>
  <si>
    <t>Bowl</t>
  </si>
  <si>
    <t>Comfort</t>
  </si>
  <si>
    <t>Food</t>
  </si>
  <si>
    <t>Grooming</t>
  </si>
  <si>
    <t>Pads</t>
  </si>
  <si>
    <t>Toys</t>
  </si>
  <si>
    <t>Training</t>
  </si>
  <si>
    <t>Treats</t>
  </si>
  <si>
    <t>Walking</t>
  </si>
  <si>
    <t>Water Bottle</t>
  </si>
  <si>
    <t>Grand Total</t>
  </si>
  <si>
    <t>This chart groups products by quantity ranges to show how order sizes are different across the dataset.</t>
  </si>
  <si>
    <t>1-5</t>
  </si>
  <si>
    <t>11-15</t>
  </si>
  <si>
    <t>16+</t>
  </si>
  <si>
    <t>6-10</t>
  </si>
  <si>
    <t>This chart displays the distribution of products across price ranges to highlight the most common pricing levels.</t>
  </si>
  <si>
    <t>0-10</t>
  </si>
  <si>
    <t>10-20</t>
  </si>
  <si>
    <t>20-30</t>
  </si>
  <si>
    <t>30+</t>
  </si>
  <si>
    <t>Dog Product Sales Data Cleaning Project</t>
  </si>
  <si>
    <t>Project Overview</t>
  </si>
  <si>
    <t>This project analyzes dog product data in Google Sheets. The goal was to clean and standardize the dataset, then identify patterns in product categories, quantities, and pricing using pivot tables and charts.</t>
  </si>
  <si>
    <t>Dataset</t>
  </si>
  <si>
    <t>The dataset includes:</t>
  </si>
  <si>
    <t>- Product Name</t>
  </si>
  <si>
    <t>- Category</t>
  </si>
  <si>
    <t>- Price</t>
  </si>
  <si>
    <t>- Quantity</t>
  </si>
  <si>
    <t>- Supplier</t>
  </si>
  <si>
    <t>- Date Ordered</t>
  </si>
  <si>
    <t>The raw data contained inconsistencies in capitalization, formatting, and pricing.</t>
  </si>
  <si>
    <t>Data Cleaning</t>
  </si>
  <si>
    <t>- Standardized capitalization across text fields</t>
  </si>
  <si>
    <t>- Formatted prices to currency with two decimal places</t>
  </si>
  <si>
    <t>- Handled one missing price by marking it as N/A</t>
  </si>
  <si>
    <t>- Improved overall consistency for analysis</t>
  </si>
  <si>
    <t>Data Transformation</t>
  </si>
  <si>
    <t>- Created Price Range (0–10, 10–20, 20–30, 30+)</t>
  </si>
  <si>
    <t>- Created Quantity Range (1–5, 6–10, 11–15, 16+)</t>
  </si>
  <si>
    <t>- Standardized categories (e.g., Toy/Chew → Toys)</t>
  </si>
  <si>
    <t>Analysis</t>
  </si>
  <si>
    <t>- Product Count by Category – identifies the most common product types</t>
  </si>
  <si>
    <t>- Quantity Distribution – shows how order sizes are distributed</t>
  </si>
  <si>
    <t>- Price Distribution – highlights common price ranges</t>
  </si>
  <si>
    <t>Key Insights</t>
  </si>
  <si>
    <t>- Toys is the most common category</t>
  </si>
  <si>
    <t>- Most quantities fall between 1–10 units</t>
  </si>
  <si>
    <t>- Most products are priced in the 0–10 range</t>
  </si>
  <si>
    <t>Tools Used</t>
  </si>
  <si>
    <t>- Google Sheets</t>
  </si>
  <si>
    <t>- Pivot Tables</t>
  </si>
  <si>
    <t>- IF formulas</t>
  </si>
  <si>
    <t>- Charts</t>
  </si>
  <si>
    <t>Conclusion</t>
  </si>
  <si>
    <t>This project demonstrates data entry, data cleaning, and basic analysis to organize raw data and identify patterns in a structured and meaningful way.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</si>
</sst>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quot;$&quot;#,##0.00"/>
  </numFmts>
  <fonts count="9">
    <font>
      <sz val="10.0"/>
      <color rgb="FF000000"/>
      <name val="Arial"/>
      <scheme val="minor"/>
    </font>
    <font>
      <sz val="12.0"/>
      <color theme="1"/>
      <name val="Arial"/>
      <scheme val="minor"/>
    </font>
    <font>
      <b/>
      <color theme="1"/>
      <name val="Arial"/>
    </font>
    <font>
      <b/>
      <color theme="1"/>
      <name val="Arial"/>
      <scheme val="minor"/>
    </font>
    <font>
      <color theme="1"/>
      <name val="Arial"/>
      <scheme val="minor"/>
    </font>
    <font>
      <sz val="12.0"/>
      <color theme="1"/>
      <name val="Arial"/>
    </font>
    <font>
      <color theme="1"/>
      <name val="Arial"/>
    </font>
    <font>
      <b/>
      <sz val="14.0"/>
      <color theme="1"/>
      <name val="Arial"/>
      <scheme val="minor"/>
    </font>
    <font>
      <b/>
      <sz val="12.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center" readingOrder="0"/>
    </xf>
    <xf borderId="0" fillId="0" fontId="3" numFmtId="0" xfId="0" applyAlignment="1" applyFont="1">
      <alignment horizontal="center" readingOrder="0"/>
    </xf>
    <xf borderId="0" fillId="0" fontId="2" numFmtId="0" xfId="0" applyAlignment="1" applyFont="1">
      <alignment horizontal="center" readingOrder="0" shrinkToFit="0" vertical="center" wrapText="0"/>
    </xf>
    <xf borderId="1" fillId="0" fontId="4" numFmtId="0" xfId="0" applyAlignment="1" applyBorder="1" applyFont="1">
      <alignment readingOrder="0" shrinkToFit="0" vertical="center" wrapText="0"/>
    </xf>
    <xf borderId="1" fillId="0" fontId="4" numFmtId="164" xfId="0" applyAlignment="1" applyBorder="1" applyFont="1" applyNumberFormat="1">
      <alignment readingOrder="0" shrinkToFit="0" vertical="center" wrapText="0"/>
    </xf>
    <xf borderId="0" fillId="0" fontId="4" numFmtId="0" xfId="0" applyFont="1"/>
    <xf borderId="1" fillId="0" fontId="3" numFmtId="0" xfId="0" applyAlignment="1" applyBorder="1" applyFont="1">
      <alignment readingOrder="0" shrinkToFit="0" vertical="center" wrapText="0"/>
    </xf>
    <xf borderId="1" fillId="0" fontId="4" numFmtId="0" xfId="0" applyAlignment="1" applyBorder="1" applyFont="1">
      <alignment shrinkToFit="0" vertical="center" wrapText="0"/>
    </xf>
    <xf borderId="0" fillId="0" fontId="4" numFmtId="0" xfId="0" applyAlignment="1" applyFont="1">
      <alignment horizontal="left"/>
    </xf>
    <xf borderId="0" fillId="0" fontId="5" numFmtId="0" xfId="0" applyAlignment="1" applyFont="1">
      <alignment horizontal="left" readingOrder="0" vertical="bottom"/>
    </xf>
    <xf borderId="0" fillId="0" fontId="2" numFmtId="0" xfId="0" applyAlignment="1" applyFont="1">
      <alignment horizontal="center" readingOrder="0" vertical="bottom"/>
    </xf>
    <xf borderId="0" fillId="0" fontId="2" numFmtId="0" xfId="0" applyAlignment="1" applyFont="1">
      <alignment horizontal="center" readingOrder="0" vertical="bottom"/>
    </xf>
    <xf borderId="0" fillId="0" fontId="6" numFmtId="0" xfId="0" applyFont="1"/>
    <xf borderId="0" fillId="0" fontId="2" numFmtId="0" xfId="0" applyAlignment="1" applyFont="1">
      <alignment horizontal="center" readingOrder="0" shrinkToFit="0" vertical="bottom" wrapText="0"/>
    </xf>
    <xf borderId="0" fillId="0" fontId="2" numFmtId="0" xfId="0" applyAlignment="1" applyFont="1">
      <alignment horizontal="center" readingOrder="0" shrinkToFit="0" vertical="bottom" wrapText="0"/>
    </xf>
    <xf borderId="1" fillId="0" fontId="6" numFmtId="0" xfId="0" applyAlignment="1" applyBorder="1" applyFont="1">
      <alignment shrinkToFit="0" vertical="bottom" wrapText="0"/>
    </xf>
    <xf borderId="1" fillId="0" fontId="6" numFmtId="0" xfId="0" applyAlignment="1" applyBorder="1" applyFont="1">
      <alignment shrinkToFit="0" vertical="center" wrapText="0"/>
    </xf>
    <xf borderId="1" fillId="0" fontId="6" numFmtId="165" xfId="0" applyAlignment="1" applyBorder="1" applyFont="1" applyNumberFormat="1">
      <alignment shrinkToFit="0" vertical="center" wrapText="0"/>
    </xf>
    <xf borderId="1" fillId="0" fontId="6" numFmtId="164" xfId="0" applyAlignment="1" applyBorder="1" applyFont="1" applyNumberFormat="1">
      <alignment shrinkToFit="0" vertical="center" wrapText="0"/>
    </xf>
    <xf borderId="1" fillId="0" fontId="6" numFmtId="0" xfId="0" applyAlignment="1" applyBorder="1" applyFont="1">
      <alignment readingOrder="0" shrinkToFit="0" vertical="bottom" wrapText="0"/>
    </xf>
    <xf borderId="1" fillId="0" fontId="6" numFmtId="0" xfId="0" applyAlignment="1" applyBorder="1" applyFont="1">
      <alignment horizontal="right" readingOrder="0" shrinkToFit="0" vertical="center" wrapText="0"/>
    </xf>
    <xf borderId="0" fillId="0" fontId="1" numFmtId="0" xfId="0" applyAlignment="1" applyFont="1">
      <alignment readingOrder="0"/>
    </xf>
    <xf borderId="0" fillId="0" fontId="4" numFmtId="0" xfId="0" applyFont="1"/>
    <xf borderId="0" fillId="0" fontId="4" numFmtId="165" xfId="0" applyFont="1" applyNumberFormat="1"/>
    <xf borderId="0" fillId="0" fontId="4"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Raw_Data-style">
      <tableStyleElement dxfId="1" type="headerRow"/>
      <tableStyleElement dxfId="2" type="firstRowStripe"/>
      <tableStyleElement dxfId="3" type="secondRowStripe"/>
      <tableStyleElement dxfId="4" size="0" type="wholeTable"/>
    </tableStyle>
    <tableStyle count="4" pivot="0" name="Cleaned_Data-style">
      <tableStyleElement dxfId="1" type="headerRow"/>
      <tableStyleElement dxfId="2" type="firstRowStripe"/>
      <tableStyleElement dxfId="2"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757575"/>
                </a:solidFill>
                <a:latin typeface="+mn-lt"/>
              </a:defRPr>
            </a:pPr>
            <a:r>
              <a:rPr b="1" sz="2000">
                <a:solidFill>
                  <a:srgbClr val="757575"/>
                </a:solidFill>
                <a:latin typeface="+mn-lt"/>
              </a:rPr>
              <a:t>Product Count by Category</a:t>
            </a:r>
          </a:p>
        </c:rich>
      </c:tx>
      <c:overlay val="0"/>
    </c:title>
    <c:plotArea>
      <c:layout/>
      <c:barChart>
        <c:barDir val="col"/>
        <c:ser>
          <c:idx val="0"/>
          <c:order val="0"/>
          <c:tx>
            <c:strRef>
              <c:f>Charts!$I$2</c:f>
            </c:strRef>
          </c:tx>
          <c:spPr>
            <a:solidFill>
              <a:schemeClr val="accent1"/>
            </a:solidFill>
            <a:ln cmpd="sng">
              <a:solidFill>
                <a:srgbClr val="000000"/>
              </a:solidFill>
            </a:ln>
          </c:spPr>
          <c:cat>
            <c:strRef>
              <c:f>Charts!$H$3:$H$13</c:f>
            </c:strRef>
          </c:cat>
          <c:val>
            <c:numRef>
              <c:f>Charts!$I$3:$I$13</c:f>
              <c:numCache/>
            </c:numRef>
          </c:val>
        </c:ser>
        <c:axId val="1181283346"/>
        <c:axId val="1343960718"/>
      </c:barChart>
      <c:catAx>
        <c:axId val="1181283346"/>
        <c:scaling>
          <c:orientation val="minMax"/>
        </c:scaling>
        <c:delete val="0"/>
        <c:axPos val="b"/>
        <c:title>
          <c:tx>
            <c:rich>
              <a:bodyPr/>
              <a:lstStyle/>
              <a:p>
                <a:pPr lvl="0">
                  <a:defRPr b="0" sz="1600">
                    <a:solidFill>
                      <a:srgbClr val="000000"/>
                    </a:solidFill>
                    <a:latin typeface="Arial"/>
                  </a:defRPr>
                </a:pPr>
                <a:r>
                  <a:rPr b="0" sz="1600">
                    <a:solidFill>
                      <a:srgbClr val="000000"/>
                    </a:solidFill>
                    <a:latin typeface="Arial"/>
                  </a:rPr>
                  <a:t>Category</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1343960718"/>
      </c:catAx>
      <c:valAx>
        <c:axId val="13439607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Arial"/>
                  </a:defRPr>
                </a:pPr>
                <a:r>
                  <a:rPr b="0" sz="1600">
                    <a:solidFill>
                      <a:srgbClr val="000000"/>
                    </a:solidFill>
                    <a:latin typeface="Arial"/>
                  </a:rPr>
                  <a:t>Number of Products</a:t>
                </a:r>
              </a:p>
            </c:rich>
          </c:tx>
          <c:overlay val="0"/>
        </c:title>
        <c:numFmt formatCode="General" sourceLinked="1"/>
        <c:majorTickMark val="none"/>
        <c:minorTickMark val="none"/>
        <c:tickLblPos val="nextTo"/>
        <c:spPr>
          <a:ln/>
        </c:spPr>
        <c:txPr>
          <a:bodyPr/>
          <a:lstStyle/>
          <a:p>
            <a:pPr lvl="0">
              <a:defRPr b="0" sz="1400">
                <a:solidFill>
                  <a:srgbClr val="000000"/>
                </a:solidFill>
                <a:latin typeface="+mn-lt"/>
              </a:defRPr>
            </a:pPr>
          </a:p>
        </c:txPr>
        <c:crossAx val="118128334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757575"/>
                </a:solidFill>
                <a:latin typeface="+mn-lt"/>
              </a:defRPr>
            </a:pPr>
            <a:r>
              <a:rPr b="1" sz="2000">
                <a:solidFill>
                  <a:srgbClr val="757575"/>
                </a:solidFill>
                <a:latin typeface="+mn-lt"/>
              </a:rPr>
              <a:t>Distribution of Product Quantities</a:t>
            </a:r>
          </a:p>
        </c:rich>
      </c:tx>
      <c:overlay val="0"/>
    </c:title>
    <c:plotArea>
      <c:layout/>
      <c:barChart>
        <c:barDir val="col"/>
        <c:ser>
          <c:idx val="0"/>
          <c:order val="0"/>
          <c:tx>
            <c:strRef>
              <c:f>Charts!$I$26</c:f>
            </c:strRef>
          </c:tx>
          <c:spPr>
            <a:solidFill>
              <a:schemeClr val="accent1"/>
            </a:solidFill>
            <a:ln cmpd="sng">
              <a:solidFill>
                <a:srgbClr val="000000"/>
              </a:solidFill>
            </a:ln>
          </c:spPr>
          <c:cat>
            <c:strRef>
              <c:f>Charts!$H$27:$H$30</c:f>
            </c:strRef>
          </c:cat>
          <c:val>
            <c:numRef>
              <c:f>Charts!$I$27:$I$30</c:f>
              <c:numCache/>
            </c:numRef>
          </c:val>
        </c:ser>
        <c:axId val="1379990526"/>
        <c:axId val="1448887458"/>
      </c:barChart>
      <c:catAx>
        <c:axId val="1379990526"/>
        <c:scaling>
          <c:orientation val="minMax"/>
        </c:scaling>
        <c:delete val="0"/>
        <c:axPos val="b"/>
        <c:title>
          <c:tx>
            <c:rich>
              <a:bodyPr/>
              <a:lstStyle/>
              <a:p>
                <a:pPr lvl="0">
                  <a:defRPr b="0" sz="1600">
                    <a:solidFill>
                      <a:srgbClr val="000000"/>
                    </a:solidFill>
                    <a:latin typeface="+mn-lt"/>
                  </a:defRPr>
                </a:pPr>
                <a:r>
                  <a:rPr b="0" sz="1600">
                    <a:solidFill>
                      <a:srgbClr val="000000"/>
                    </a:solidFill>
                    <a:latin typeface="+mn-lt"/>
                  </a:rPr>
                  <a:t>Quantity Range</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1448887458"/>
      </c:catAx>
      <c:valAx>
        <c:axId val="14488874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mn-lt"/>
                  </a:defRPr>
                </a:pPr>
                <a:r>
                  <a:rPr b="0" sz="1600">
                    <a:solidFill>
                      <a:srgbClr val="000000"/>
                    </a:solidFill>
                    <a:latin typeface="+mn-lt"/>
                  </a:rPr>
                  <a:t>Number of Products</a:t>
                </a:r>
              </a:p>
            </c:rich>
          </c:tx>
          <c:overlay val="0"/>
        </c:title>
        <c:numFmt formatCode="General" sourceLinked="1"/>
        <c:majorTickMark val="none"/>
        <c:minorTickMark val="none"/>
        <c:tickLblPos val="nextTo"/>
        <c:spPr>
          <a:ln/>
        </c:spPr>
        <c:txPr>
          <a:bodyPr/>
          <a:lstStyle/>
          <a:p>
            <a:pPr lvl="0">
              <a:defRPr b="0" sz="1400">
                <a:solidFill>
                  <a:srgbClr val="000000"/>
                </a:solidFill>
                <a:latin typeface="+mn-lt"/>
              </a:defRPr>
            </a:pPr>
          </a:p>
        </c:txPr>
        <c:crossAx val="137999052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000">
                <a:solidFill>
                  <a:srgbClr val="757575"/>
                </a:solidFill>
                <a:latin typeface="+mn-lt"/>
              </a:defRPr>
            </a:pPr>
            <a:r>
              <a:rPr b="1" sz="2000">
                <a:solidFill>
                  <a:srgbClr val="757575"/>
                </a:solidFill>
                <a:latin typeface="+mn-lt"/>
              </a:rPr>
              <a:t>Price Distribution by Range</a:t>
            </a:r>
          </a:p>
        </c:rich>
      </c:tx>
      <c:overlay val="0"/>
    </c:title>
    <c:plotArea>
      <c:layout/>
      <c:barChart>
        <c:barDir val="col"/>
        <c:ser>
          <c:idx val="0"/>
          <c:order val="0"/>
          <c:tx>
            <c:strRef>
              <c:f>Charts!$I$47</c:f>
            </c:strRef>
          </c:tx>
          <c:spPr>
            <a:solidFill>
              <a:schemeClr val="accent1"/>
            </a:solidFill>
            <a:ln cmpd="sng">
              <a:solidFill>
                <a:srgbClr val="000000"/>
              </a:solidFill>
            </a:ln>
          </c:spPr>
          <c:cat>
            <c:strRef>
              <c:f>Charts!$H$48:$H$51</c:f>
            </c:strRef>
          </c:cat>
          <c:val>
            <c:numRef>
              <c:f>Charts!$I$48:$I$51</c:f>
              <c:numCache/>
            </c:numRef>
          </c:val>
        </c:ser>
        <c:axId val="1920787502"/>
        <c:axId val="295095587"/>
      </c:barChart>
      <c:catAx>
        <c:axId val="1920787502"/>
        <c:scaling>
          <c:orientation val="minMax"/>
        </c:scaling>
        <c:delete val="0"/>
        <c:axPos val="b"/>
        <c:title>
          <c:tx>
            <c:rich>
              <a:bodyPr/>
              <a:lstStyle/>
              <a:p>
                <a:pPr lvl="0">
                  <a:defRPr b="0" sz="1600">
                    <a:solidFill>
                      <a:srgbClr val="000000"/>
                    </a:solidFill>
                    <a:latin typeface="+mn-lt"/>
                  </a:defRPr>
                </a:pPr>
                <a:r>
                  <a:rPr b="0" sz="1600">
                    <a:solidFill>
                      <a:srgbClr val="000000"/>
                    </a:solidFill>
                    <a:latin typeface="+mn-lt"/>
                  </a:rPr>
                  <a:t>Price Range ($)</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295095587"/>
      </c:catAx>
      <c:valAx>
        <c:axId val="2950955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600">
                    <a:solidFill>
                      <a:srgbClr val="000000"/>
                    </a:solidFill>
                    <a:latin typeface="+mn-lt"/>
                  </a:defRPr>
                </a:pPr>
                <a:r>
                  <a:rPr b="0" sz="1600">
                    <a:solidFill>
                      <a:srgbClr val="000000"/>
                    </a:solidFill>
                    <a:latin typeface="+mn-lt"/>
                  </a:rPr>
                  <a:t>Number of Products</a:t>
                </a:r>
              </a:p>
            </c:rich>
          </c:tx>
          <c:overlay val="0"/>
        </c:title>
        <c:numFmt formatCode="General" sourceLinked="1"/>
        <c:majorTickMark val="none"/>
        <c:minorTickMark val="none"/>
        <c:tickLblPos val="nextTo"/>
        <c:spPr>
          <a:ln/>
        </c:spPr>
        <c:txPr>
          <a:bodyPr/>
          <a:lstStyle/>
          <a:p>
            <a:pPr lvl="0">
              <a:defRPr b="0" sz="1400">
                <a:solidFill>
                  <a:srgbClr val="000000"/>
                </a:solidFill>
                <a:latin typeface="+mn-lt"/>
              </a:defRPr>
            </a:pPr>
          </a:p>
        </c:txPr>
        <c:crossAx val="1920787502"/>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209550</xdr:colOff>
      <xdr:row>1</xdr:row>
      <xdr:rowOff>9525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209550</xdr:colOff>
      <xdr:row>21</xdr:row>
      <xdr:rowOff>9525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209550</xdr:colOff>
      <xdr:row>42</xdr:row>
      <xdr:rowOff>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J44" sheet="Cleaned_Data"/>
  </cacheSource>
  <cacheFields>
    <cacheField name="Product Name" numFmtId="0">
      <sharedItems>
        <s v="Doggie Chew Bone"/>
        <s v="Puppy Leash"/>
        <s v="Dog Food Bag"/>
        <s v="Dog Collar Large"/>
        <s v="Dog Toy Squeaky"/>
        <s v="Puppy Treats"/>
        <s v="Dog Shampoo"/>
        <s v="Chew Toy"/>
        <s v="Dog Harness"/>
        <s v="Dog Bed Soft"/>
        <s v="Dog Toothpaste"/>
        <s v="Bone Toy"/>
        <s v="Puppy Blanket"/>
        <s v="Dog Jacket"/>
        <s v="Squeaky Ball"/>
        <s v="Dog Food Mini"/>
        <s v="Dog Training Clicker"/>
        <s v="Chew Treat"/>
        <s v="Dog Carrier Small"/>
        <s v="Puppy Pad"/>
        <s v="Dog Grooming Brush"/>
        <s v="Dog Bowl Stainless"/>
        <s v="Dog Treat Jar"/>
        <s v="Puppy Chew Rope"/>
        <s v="Dog Leash Retractable"/>
        <s v="Dog Sweater"/>
        <s v="Dog Hat"/>
        <s v="Dog Blanket"/>
        <s v="Dog Snack Bar"/>
        <s v="Dog Water Bottle"/>
        <s v="Puppy Chew Stick"/>
        <s v="Dog Bowl Large"/>
        <s v="Dog Nail Clippers"/>
        <s v="Puppy Toy Ball"/>
        <s v="Dog Harness Adjustable"/>
        <s v="Dog Jacket Xl"/>
        <s v="Dog Raincoat"/>
        <s v="Dog Bed King"/>
        <s v="Puppy Chew Ring"/>
        <s v="Dog Treat Box"/>
        <s v="Dog Collar Small"/>
      </sharedItems>
    </cacheField>
    <cacheField name="Category" numFmtId="0">
      <sharedItems>
        <s v="Chew Toys"/>
        <s v="Leash"/>
        <s v="Food"/>
        <s v="Collar"/>
        <s v="Toy"/>
        <s v="Treats"/>
        <s v="Shampoo"/>
        <s v="Harness"/>
        <s v="Bed"/>
        <s v="Toothpaste"/>
        <s v="Blanket"/>
        <s v="Jacket"/>
        <s v="Training"/>
        <s v="Carrier"/>
        <s v="Pads"/>
        <s v="Grooming"/>
        <s v="Bowl"/>
        <s v="Chew"/>
        <s v="Sweater"/>
        <s v="Hat"/>
        <s v="Snacks"/>
        <s v="Water Bottle"/>
        <s v="Clippers"/>
        <s v="Raincoat"/>
      </sharedItems>
    </cacheField>
    <cacheField name="Category (Standardized)" numFmtId="165">
      <sharedItems>
        <s v="Toys"/>
        <s v="Walking"/>
        <s v="Food"/>
        <s v="Treats"/>
        <s v="Grooming"/>
        <s v="Comfort"/>
        <s v="Accessories"/>
        <s v="Training"/>
        <s v="Pads"/>
        <s v="Bowl"/>
        <s v="Water Bottle"/>
      </sharedItems>
    </cacheField>
    <cacheField name="Price">
      <sharedItems containsMixedTypes="1" containsNumber="1">
        <n v="12.99"/>
        <n v="7.5"/>
        <n v="45.0"/>
        <n v="14.99"/>
        <n v="8.5"/>
        <n v="6.25"/>
        <n v="10.0"/>
        <n v="7.75"/>
        <n v="15.99"/>
        <n v="35.0"/>
        <n v="5.0"/>
        <n v="6.0"/>
        <n v="20.0"/>
        <n v="18.5"/>
        <n v="7.0"/>
        <n v="3.25"/>
        <n v="2.5"/>
        <n v="4.0"/>
        <n v="22.0"/>
        <n v="1.5"/>
        <n v="9.0"/>
        <n v="25.0"/>
        <n v="3.0"/>
        <n v="5.5"/>
        <n v="12.0"/>
        <n v="8.25"/>
        <n v="15.0"/>
        <n v="30.0"/>
        <n v="2.75"/>
        <n v="4.5"/>
        <n v="8.0"/>
        <n v="17.0"/>
        <n v="40.0"/>
        <s v="N/A"/>
      </sharedItems>
    </cacheField>
    <cacheField name="Price Range" numFmtId="0">
      <sharedItems>
        <s v="0-10"/>
        <s v="30+"/>
        <s v="10-20"/>
        <s v="20-30"/>
      </sharedItems>
    </cacheField>
    <cacheField name="Quantity" numFmtId="0">
      <sharedItems containsSemiMixedTypes="0" containsString="0" containsNumber="1" containsInteger="1">
        <n v="5.0"/>
        <n v="10.0"/>
        <n v="2.0"/>
        <n v="8.0"/>
        <n v="12.0"/>
        <n v="15.0"/>
        <n v="7.0"/>
        <n v="6.0"/>
        <n v="3.0"/>
        <n v="4.0"/>
        <n v="9.0"/>
        <n v="11.0"/>
        <n v="14.0"/>
        <n v="1.0"/>
        <n v="20.0"/>
      </sharedItems>
    </cacheField>
    <cacheField name="Quantity Range" numFmtId="0">
      <sharedItems>
        <s v="1-5"/>
        <s v="16+"/>
        <s v="6-10"/>
        <s v="11-15"/>
      </sharedItems>
    </cacheField>
    <cacheField name="Supplier" numFmtId="0">
      <sharedItems>
        <s v="Happypaws"/>
        <s v="Dogworld"/>
        <s v="Petco"/>
        <s v="Paws N Claws"/>
        <s v="Doggiemart"/>
        <s v="Furever"/>
        <s v="Puppysupply"/>
        <s v="Pethub"/>
        <s v="Barkshop"/>
        <s v="Caninecorner"/>
        <s v="Pupstore"/>
      </sharedItems>
    </cacheField>
    <cacheField name="Date Ordered" numFmtId="164">
      <sharedItems containsSemiMixedTypes="0" containsDate="1" containsString="0">
        <d v="2026-01-02T00:00:00Z"/>
        <d v="2026-01-05T00:00:00Z"/>
        <d v="2026-01-07T00:00:00Z"/>
        <d v="2026-01-10T00:00:00Z"/>
        <d v="2026-01-12T00:00:00Z"/>
        <d v="2026-01-15T00:00:00Z"/>
        <d v="2026-01-18T00:00:00Z"/>
        <d v="2026-01-20T00:00:00Z"/>
        <d v="2026-01-22T00:00:00Z"/>
        <d v="2026-01-25T00:00:00Z"/>
        <d v="2026-01-28T00:00:00Z"/>
        <d v="2026-01-30T00:00:00Z"/>
        <d v="2026-02-01T00:00:00Z"/>
        <d v="2026-02-03T00:00:00Z"/>
        <d v="2026-02-05T00:00:00Z"/>
        <d v="2026-02-07T00:00:00Z"/>
        <d v="2026-02-10T00:00:00Z"/>
        <d v="2026-02-12T00:00:00Z"/>
        <d v="2026-02-14T00:00:00Z"/>
        <d v="2026-02-16T00:00:00Z"/>
        <d v="2026-02-18T00:00:00Z"/>
        <d v="2026-02-20T00:00:00Z"/>
        <d v="2026-02-22T00:00:00Z"/>
        <d v="2026-02-24T00:00:00Z"/>
        <d v="2026-02-26T00:00:00Z"/>
        <d v="2026-02-28T00:00:00Z"/>
        <d v="2026-03-01T00:00:00Z"/>
        <d v="2026-03-03T00:00:00Z"/>
        <d v="2026-03-05T00:00:00Z"/>
        <d v="2026-03-07T00:00:00Z"/>
        <d v="2026-03-10T00:00:00Z"/>
        <d v="2026-03-12T00:00:00Z"/>
        <d v="2026-03-14T00:00:00Z"/>
        <d v="2026-03-16T00:00:00Z"/>
        <d v="2026-03-18T00:00:00Z"/>
        <d v="2026-03-20T00:00:00Z"/>
        <d v="2026-03-22T00:00:00Z"/>
        <d v="2026-03-25T00:00:00Z"/>
        <d v="2026-03-27T00:00:00Z"/>
        <d v="2026-03-29T00:00:00Z"/>
        <d v="2026-03-31T00:00:00Z"/>
      </sharedItems>
    </cacheField>
    <cacheField name="Cleaning Action Taken" numFmtId="0">
      <sharedItems>
        <s v="Capitalization corrected; price formatted"/>
        <s v="Capitalization corrected; marked missing price as N/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harts" cacheId="0" dataCaption="" compact="0" compactData="0">
  <location ref="H2:I14" firstHeaderRow="0" firstDataRow="1" firstDataCol="0"/>
  <pivotFields>
    <pivotField name="Product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tegory (Standardized)" axis="axisRow" compact="0" numFmtId="165" outline="0" multipleItemSelectionAllowed="1" showAll="0" sortType="ascending">
      <items>
        <item x="6"/>
        <item x="9"/>
        <item x="5"/>
        <item x="2"/>
        <item x="4"/>
        <item x="8"/>
        <item x="0"/>
        <item x="7"/>
        <item x="3"/>
        <item x="1"/>
        <item x="10"/>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rice Range" compact="0" outline="0" multipleItemSelectionAllowed="1" showAll="0">
      <items>
        <item x="0"/>
        <item x="1"/>
        <item x="2"/>
        <item x="3"/>
        <item t="default"/>
      </items>
    </pivotField>
    <pivotField name="Quantity" compact="0" outline="0" multipleItemSelectionAllowed="1" showAll="0">
      <items>
        <item x="0"/>
        <item x="1"/>
        <item x="2"/>
        <item x="3"/>
        <item x="4"/>
        <item x="5"/>
        <item x="6"/>
        <item x="7"/>
        <item x="8"/>
        <item x="9"/>
        <item x="10"/>
        <item x="11"/>
        <item x="12"/>
        <item x="13"/>
        <item x="14"/>
        <item t="default"/>
      </items>
    </pivotField>
    <pivotField name="Quantity Range" compact="0" outline="0" multipleItemSelectionAllowed="1" showAll="0">
      <items>
        <item x="0"/>
        <item x="1"/>
        <item x="2"/>
        <item x="3"/>
        <item t="default"/>
      </items>
    </pivotField>
    <pivotField name="Supplier" compact="0" outline="0" multipleItemSelectionAllowed="1" showAll="0">
      <items>
        <item x="0"/>
        <item x="1"/>
        <item x="2"/>
        <item x="3"/>
        <item x="4"/>
        <item x="5"/>
        <item x="6"/>
        <item x="7"/>
        <item x="8"/>
        <item x="9"/>
        <item x="10"/>
        <item t="default"/>
      </items>
    </pivotField>
    <pivotField name="Date Order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leaning Action Taken" compact="0" outline="0" multipleItemSelectionAllowed="1" showAll="0">
      <items>
        <item x="0"/>
        <item x="1"/>
        <item t="default"/>
      </items>
    </pivotField>
  </pivotFields>
  <rowFields>
    <field x="2"/>
  </rowFields>
  <dataFields>
    <dataField name="COUNTA of Product Name" fld="0" subtotal="count" baseField="0"/>
  </dataFields>
</pivotTableDefinition>
</file>

<file path=xl/pivotTables/pivotTable2.xml><?xml version="1.0" encoding="utf-8"?>
<pivotTableDefinition xmlns="http://schemas.openxmlformats.org/spreadsheetml/2006/main" name="Charts 2" cacheId="0" dataCaption="" compact="0" compactData="0">
  <location ref="H26:I31" firstHeaderRow="0" firstDataRow="1" firstDataCol="0"/>
  <pivotFields>
    <pivotField name="Product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tegory (Standardized)" compact="0" numFmtId="165" outline="0" multipleItemSelectionAllowed="1" showAll="0">
      <items>
        <item x="0"/>
        <item x="1"/>
        <item x="2"/>
        <item x="3"/>
        <item x="4"/>
        <item x="5"/>
        <item x="6"/>
        <item x="7"/>
        <item x="8"/>
        <item x="9"/>
        <item x="10"/>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rice Range" compact="0" outline="0" multipleItemSelectionAllowed="1" showAll="0">
      <items>
        <item x="0"/>
        <item x="1"/>
        <item x="2"/>
        <item x="3"/>
        <item t="default"/>
      </items>
    </pivotField>
    <pivotField name="Quantity" compact="0" outline="0" multipleItemSelectionAllowed="1" showAll="0">
      <items>
        <item x="0"/>
        <item x="1"/>
        <item x="2"/>
        <item x="3"/>
        <item x="4"/>
        <item x="5"/>
        <item x="6"/>
        <item x="7"/>
        <item x="8"/>
        <item x="9"/>
        <item x="10"/>
        <item x="11"/>
        <item x="12"/>
        <item x="13"/>
        <item x="14"/>
        <item t="default"/>
      </items>
    </pivotField>
    <pivotField name="Quantity Range" axis="axisRow" compact="0" outline="0" multipleItemSelectionAllowed="1" showAll="0" sortType="ascending">
      <items>
        <item x="0"/>
        <item x="3"/>
        <item x="1"/>
        <item x="2"/>
        <item t="default"/>
      </items>
    </pivotField>
    <pivotField name="Supplier" compact="0" outline="0" multipleItemSelectionAllowed="1" showAll="0">
      <items>
        <item x="0"/>
        <item x="1"/>
        <item x="2"/>
        <item x="3"/>
        <item x="4"/>
        <item x="5"/>
        <item x="6"/>
        <item x="7"/>
        <item x="8"/>
        <item x="9"/>
        <item x="10"/>
        <item t="default"/>
      </items>
    </pivotField>
    <pivotField name="Date Order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leaning Action Taken" compact="0" outline="0" multipleItemSelectionAllowed="1" showAll="0">
      <items>
        <item x="0"/>
        <item x="1"/>
        <item t="default"/>
      </items>
    </pivotField>
  </pivotFields>
  <rowFields>
    <field x="6"/>
  </rowFields>
  <dataFields>
    <dataField name="COUNTA of Product Name" fld="0" subtotal="count" baseField="0"/>
  </dataFields>
</pivotTableDefinition>
</file>

<file path=xl/pivotTables/pivotTable3.xml><?xml version="1.0" encoding="utf-8"?>
<pivotTableDefinition xmlns="http://schemas.openxmlformats.org/spreadsheetml/2006/main" name="Charts 3" cacheId="0" dataCaption="" compact="0" compactData="0">
  <location ref="H47:I52" firstHeaderRow="0" firstDataRow="1" firstDataCol="0"/>
  <pivotFields>
    <pivotField name="Product 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Category (Standardized)" compact="0" numFmtId="165" outline="0" multipleItemSelectionAllowed="1" showAll="0">
      <items>
        <item x="0"/>
        <item x="1"/>
        <item x="2"/>
        <item x="3"/>
        <item x="4"/>
        <item x="5"/>
        <item x="6"/>
        <item x="7"/>
        <item x="8"/>
        <item x="9"/>
        <item x="10"/>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rice Range" axis="axisRow" compact="0" outline="0" multipleItemSelectionAllowed="1" showAll="0" sortType="ascending">
      <items>
        <item x="0"/>
        <item x="2"/>
        <item x="3"/>
        <item x="1"/>
        <item t="default"/>
      </items>
    </pivotField>
    <pivotField name="Quantity" compact="0" outline="0" multipleItemSelectionAllowed="1" showAll="0">
      <items>
        <item x="0"/>
        <item x="1"/>
        <item x="2"/>
        <item x="3"/>
        <item x="4"/>
        <item x="5"/>
        <item x="6"/>
        <item x="7"/>
        <item x="8"/>
        <item x="9"/>
        <item x="10"/>
        <item x="11"/>
        <item x="12"/>
        <item x="13"/>
        <item x="14"/>
        <item t="default"/>
      </items>
    </pivotField>
    <pivotField name="Quantity Range" compact="0" outline="0" multipleItemSelectionAllowed="1" showAll="0">
      <items>
        <item x="0"/>
        <item x="1"/>
        <item x="2"/>
        <item x="3"/>
        <item t="default"/>
      </items>
    </pivotField>
    <pivotField name="Supplier" compact="0" outline="0" multipleItemSelectionAllowed="1" showAll="0">
      <items>
        <item x="0"/>
        <item x="1"/>
        <item x="2"/>
        <item x="3"/>
        <item x="4"/>
        <item x="5"/>
        <item x="6"/>
        <item x="7"/>
        <item x="8"/>
        <item x="9"/>
        <item x="10"/>
        <item t="default"/>
      </items>
    </pivotField>
    <pivotField name="Date Ordere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Cleaning Action Taken" compact="0" outline="0" multipleItemSelectionAllowed="1" showAll="0">
      <items>
        <item x="0"/>
        <item x="1"/>
        <item t="default"/>
      </items>
    </pivotField>
  </pivotFields>
  <rowFields>
    <field x="4"/>
  </rowFields>
  <dataFields>
    <dataField name="COUNTA of Product Name" fld="0" subtotal="count" baseField="0"/>
  </dataFields>
</pivotTableDefinition>
</file>

<file path=xl/tables/table1.xml><?xml version="1.0" encoding="utf-8"?>
<table xmlns="http://schemas.openxmlformats.org/spreadsheetml/2006/main" ref="A3:F44" displayName="Raw_Data" name="Raw_Data" id="1">
  <tableColumns count="6">
    <tableColumn name="Product Name" id="1"/>
    <tableColumn name="Category" id="2"/>
    <tableColumn name="Price" id="3"/>
    <tableColumn name="Quantity" id="4"/>
    <tableColumn name="Supplier" id="5"/>
    <tableColumn name="Date Ordered" id="6"/>
  </tableColumns>
  <tableStyleInfo name="Raw_Data-style" showColumnStripes="0" showFirstColumn="1" showLastColumn="1" showRowStripes="1"/>
</table>
</file>

<file path=xl/tables/table2.xml><?xml version="1.0" encoding="utf-8"?>
<table xmlns="http://schemas.openxmlformats.org/spreadsheetml/2006/main" ref="A3:J44" displayName="Cleaned_Data" name="Cleaned_Data" id="2">
  <tableColumns count="10">
    <tableColumn name="Product Name" id="1"/>
    <tableColumn name="Category" id="2"/>
    <tableColumn name="Category (Standardized)" id="3"/>
    <tableColumn name="Price" id="4"/>
    <tableColumn name="Price Range" id="5"/>
    <tableColumn name="Quantity" id="6"/>
    <tableColumn name="Quantity Range" id="7"/>
    <tableColumn name="Supplier" id="8"/>
    <tableColumn name="Date Ordered" id="9"/>
    <tableColumn name="Cleaning Action Taken" id="10"/>
  </tableColumns>
  <tableStyleInfo name="Cleaned_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1.38"/>
    <col customWidth="1" min="2" max="2" width="16.75"/>
    <col customWidth="1" min="3" max="3" width="17.38"/>
    <col customWidth="1" min="4" max="4" width="14.13"/>
    <col customWidth="1" min="6" max="6" width="19.25"/>
    <col customWidth="1" min="7" max="7" width="16.75"/>
    <col customWidth="1" min="9" max="9" width="17.75"/>
  </cols>
  <sheetData>
    <row r="1">
      <c r="A1" s="1" t="s">
        <v>0</v>
      </c>
      <c r="B1" s="2"/>
      <c r="C1" s="2"/>
      <c r="D1" s="2"/>
      <c r="E1" s="2"/>
      <c r="F1" s="2"/>
      <c r="G1" s="2"/>
      <c r="H1" s="2"/>
      <c r="I1" s="2"/>
    </row>
    <row r="2">
      <c r="A2" s="3"/>
      <c r="G2" s="2"/>
      <c r="H2" s="2"/>
      <c r="I2" s="2"/>
    </row>
    <row r="3" ht="22.5" customHeight="1">
      <c r="A3" s="4" t="s">
        <v>1</v>
      </c>
      <c r="B3" s="4" t="s">
        <v>2</v>
      </c>
      <c r="C3" s="4" t="s">
        <v>3</v>
      </c>
      <c r="D3" s="4" t="s">
        <v>4</v>
      </c>
      <c r="E3" s="4" t="s">
        <v>5</v>
      </c>
      <c r="F3" s="4" t="s">
        <v>6</v>
      </c>
      <c r="G3" s="2"/>
      <c r="H3" s="2"/>
      <c r="I3" s="2"/>
    </row>
    <row r="4" ht="22.5" customHeight="1">
      <c r="A4" s="5" t="s">
        <v>7</v>
      </c>
      <c r="B4" s="5" t="s">
        <v>8</v>
      </c>
      <c r="C4" s="5">
        <v>12.99</v>
      </c>
      <c r="D4" s="5">
        <v>5.0</v>
      </c>
      <c r="E4" s="5" t="s">
        <v>9</v>
      </c>
      <c r="F4" s="6">
        <v>46024.0</v>
      </c>
      <c r="G4" s="7"/>
      <c r="H4" s="7"/>
      <c r="I4" s="7"/>
    </row>
    <row r="5" ht="22.5" customHeight="1">
      <c r="A5" s="5" t="s">
        <v>10</v>
      </c>
      <c r="B5" s="5" t="s">
        <v>11</v>
      </c>
      <c r="C5" s="5">
        <v>7.5</v>
      </c>
      <c r="D5" s="5">
        <v>10.0</v>
      </c>
      <c r="E5" s="5" t="s">
        <v>12</v>
      </c>
      <c r="F5" s="6">
        <v>46027.0</v>
      </c>
      <c r="G5" s="7"/>
      <c r="H5" s="7"/>
      <c r="I5" s="7"/>
    </row>
    <row r="6" ht="22.5" customHeight="1">
      <c r="A6" s="5" t="s">
        <v>13</v>
      </c>
      <c r="B6" s="5" t="s">
        <v>14</v>
      </c>
      <c r="C6" s="5">
        <v>45.0</v>
      </c>
      <c r="D6" s="5">
        <v>2.0</v>
      </c>
      <c r="E6" s="5" t="s">
        <v>15</v>
      </c>
      <c r="F6" s="6">
        <v>46029.0</v>
      </c>
      <c r="G6" s="7"/>
      <c r="H6" s="7"/>
      <c r="I6" s="7"/>
    </row>
    <row r="7" ht="22.5" customHeight="1">
      <c r="A7" s="5" t="s">
        <v>16</v>
      </c>
      <c r="B7" s="5" t="s">
        <v>17</v>
      </c>
      <c r="C7" s="5">
        <v>14.99</v>
      </c>
      <c r="D7" s="5">
        <v>8.0</v>
      </c>
      <c r="E7" s="5" t="s">
        <v>18</v>
      </c>
      <c r="F7" s="6">
        <v>46032.0</v>
      </c>
      <c r="G7" s="7"/>
      <c r="H7" s="7"/>
      <c r="I7" s="7"/>
    </row>
    <row r="8" ht="22.5" customHeight="1">
      <c r="A8" s="5" t="s">
        <v>19</v>
      </c>
      <c r="B8" s="5" t="s">
        <v>20</v>
      </c>
      <c r="C8" s="5">
        <v>8.5</v>
      </c>
      <c r="D8" s="5">
        <v>12.0</v>
      </c>
      <c r="E8" s="5" t="s">
        <v>21</v>
      </c>
      <c r="F8" s="6">
        <v>46034.0</v>
      </c>
      <c r="G8" s="7"/>
      <c r="H8" s="7"/>
      <c r="I8" s="7"/>
    </row>
    <row r="9" ht="22.5" customHeight="1">
      <c r="A9" s="5" t="s">
        <v>22</v>
      </c>
      <c r="B9" s="5" t="s">
        <v>23</v>
      </c>
      <c r="C9" s="5">
        <v>6.25</v>
      </c>
      <c r="D9" s="5">
        <v>15.0</v>
      </c>
      <c r="E9" s="5" t="s">
        <v>24</v>
      </c>
      <c r="F9" s="6">
        <v>46037.0</v>
      </c>
      <c r="G9" s="7"/>
      <c r="H9" s="7"/>
      <c r="I9" s="7"/>
    </row>
    <row r="10" ht="22.5" customHeight="1">
      <c r="A10" s="5" t="s">
        <v>25</v>
      </c>
      <c r="B10" s="5" t="s">
        <v>26</v>
      </c>
      <c r="C10" s="5">
        <v>10.0</v>
      </c>
      <c r="D10" s="5">
        <v>7.0</v>
      </c>
      <c r="E10" s="8" t="s">
        <v>27</v>
      </c>
      <c r="F10" s="6">
        <v>46040.0</v>
      </c>
      <c r="G10" s="7"/>
      <c r="H10" s="7"/>
      <c r="I10" s="7"/>
    </row>
    <row r="11" ht="22.5" customHeight="1">
      <c r="A11" s="5" t="s">
        <v>28</v>
      </c>
      <c r="B11" s="5" t="s">
        <v>20</v>
      </c>
      <c r="C11" s="5">
        <v>7.75</v>
      </c>
      <c r="D11" s="5">
        <v>6.0</v>
      </c>
      <c r="E11" s="5" t="s">
        <v>29</v>
      </c>
      <c r="F11" s="6">
        <v>46042.0</v>
      </c>
      <c r="G11" s="7"/>
      <c r="H11" s="7"/>
      <c r="I11" s="7"/>
    </row>
    <row r="12" ht="22.5" customHeight="1">
      <c r="A12" s="5" t="s">
        <v>30</v>
      </c>
      <c r="B12" s="5" t="s">
        <v>31</v>
      </c>
      <c r="C12" s="5">
        <v>15.99</v>
      </c>
      <c r="D12" s="5">
        <v>3.0</v>
      </c>
      <c r="E12" s="5" t="s">
        <v>32</v>
      </c>
      <c r="F12" s="6">
        <v>46044.0</v>
      </c>
      <c r="G12" s="7"/>
      <c r="H12" s="7"/>
      <c r="I12" s="7"/>
    </row>
    <row r="13" ht="22.5" customHeight="1">
      <c r="A13" s="5" t="s">
        <v>33</v>
      </c>
      <c r="B13" s="5" t="s">
        <v>34</v>
      </c>
      <c r="C13" s="5">
        <v>35.0</v>
      </c>
      <c r="D13" s="5">
        <v>4.0</v>
      </c>
      <c r="E13" s="5" t="s">
        <v>35</v>
      </c>
      <c r="F13" s="6">
        <v>46047.0</v>
      </c>
      <c r="G13" s="7"/>
      <c r="H13" s="7"/>
      <c r="I13" s="7"/>
    </row>
    <row r="14" ht="22.5" customHeight="1">
      <c r="A14" s="5" t="s">
        <v>36</v>
      </c>
      <c r="B14" s="5" t="s">
        <v>37</v>
      </c>
      <c r="C14" s="5">
        <v>5.0</v>
      </c>
      <c r="D14" s="5">
        <v>10.0</v>
      </c>
      <c r="E14" s="5" t="s">
        <v>38</v>
      </c>
      <c r="F14" s="6">
        <v>46050.0</v>
      </c>
      <c r="G14" s="7"/>
      <c r="H14" s="7"/>
      <c r="I14" s="7"/>
    </row>
    <row r="15" ht="22.5" customHeight="1">
      <c r="A15" s="5" t="s">
        <v>39</v>
      </c>
      <c r="B15" s="5" t="s">
        <v>20</v>
      </c>
      <c r="C15" s="5">
        <v>6.0</v>
      </c>
      <c r="D15" s="5">
        <v>9.0</v>
      </c>
      <c r="E15" s="5" t="s">
        <v>21</v>
      </c>
      <c r="F15" s="6">
        <v>46052.0</v>
      </c>
      <c r="G15" s="7"/>
      <c r="H15" s="7"/>
      <c r="I15" s="7"/>
    </row>
    <row r="16" ht="22.5" customHeight="1">
      <c r="A16" s="5" t="s">
        <v>40</v>
      </c>
      <c r="B16" s="5" t="s">
        <v>41</v>
      </c>
      <c r="C16" s="5">
        <v>20.0</v>
      </c>
      <c r="D16" s="5">
        <v>5.0</v>
      </c>
      <c r="E16" s="5" t="s">
        <v>9</v>
      </c>
      <c r="F16" s="6">
        <v>46054.0</v>
      </c>
      <c r="G16" s="7"/>
      <c r="H16" s="7"/>
      <c r="I16" s="7"/>
    </row>
    <row r="17" ht="22.5" customHeight="1">
      <c r="A17" s="5" t="s">
        <v>42</v>
      </c>
      <c r="B17" s="5" t="s">
        <v>43</v>
      </c>
      <c r="C17" s="5">
        <v>18.5</v>
      </c>
      <c r="D17" s="5">
        <v>2.0</v>
      </c>
      <c r="E17" s="5" t="s">
        <v>15</v>
      </c>
      <c r="F17" s="6">
        <v>46056.0</v>
      </c>
      <c r="G17" s="7"/>
      <c r="H17" s="7"/>
      <c r="I17" s="7"/>
    </row>
    <row r="18" ht="22.5" customHeight="1">
      <c r="A18" s="5" t="s">
        <v>44</v>
      </c>
      <c r="B18" s="5" t="s">
        <v>20</v>
      </c>
      <c r="C18" s="5">
        <v>7.0</v>
      </c>
      <c r="D18" s="5">
        <v>11.0</v>
      </c>
      <c r="E18" s="5" t="s">
        <v>32</v>
      </c>
      <c r="F18" s="6">
        <v>46058.0</v>
      </c>
      <c r="G18" s="7"/>
      <c r="H18" s="7"/>
      <c r="I18" s="7"/>
    </row>
    <row r="19" ht="22.5" customHeight="1">
      <c r="A19" s="5" t="s">
        <v>45</v>
      </c>
      <c r="B19" s="5" t="s">
        <v>14</v>
      </c>
      <c r="C19" s="5">
        <v>3.25</v>
      </c>
      <c r="D19" s="5">
        <v>8.0</v>
      </c>
      <c r="E19" s="5" t="s">
        <v>18</v>
      </c>
      <c r="F19" s="6">
        <v>46060.0</v>
      </c>
      <c r="G19" s="7"/>
      <c r="H19" s="7"/>
      <c r="I19" s="7"/>
    </row>
    <row r="20" ht="22.5" customHeight="1">
      <c r="A20" s="5" t="s">
        <v>46</v>
      </c>
      <c r="B20" s="5" t="s">
        <v>47</v>
      </c>
      <c r="C20" s="5">
        <v>2.5</v>
      </c>
      <c r="D20" s="5">
        <v>6.0</v>
      </c>
      <c r="E20" s="5" t="s">
        <v>29</v>
      </c>
      <c r="F20" s="6">
        <v>46063.0</v>
      </c>
      <c r="G20" s="7"/>
      <c r="H20" s="7"/>
      <c r="I20" s="7"/>
    </row>
    <row r="21" ht="22.5" customHeight="1">
      <c r="A21" s="5" t="s">
        <v>48</v>
      </c>
      <c r="B21" s="5" t="s">
        <v>23</v>
      </c>
      <c r="C21" s="5">
        <v>4.0</v>
      </c>
      <c r="D21" s="5">
        <v>14.0</v>
      </c>
      <c r="E21" s="5" t="s">
        <v>24</v>
      </c>
      <c r="F21" s="6">
        <v>46065.0</v>
      </c>
      <c r="G21" s="7"/>
      <c r="H21" s="7"/>
      <c r="I21" s="7"/>
    </row>
    <row r="22" ht="22.5" customHeight="1">
      <c r="A22" s="5" t="s">
        <v>49</v>
      </c>
      <c r="B22" s="5" t="s">
        <v>50</v>
      </c>
      <c r="C22" s="5">
        <v>22.0</v>
      </c>
      <c r="D22" s="5">
        <v>1.0</v>
      </c>
      <c r="E22" s="5" t="s">
        <v>12</v>
      </c>
      <c r="F22" s="6">
        <v>46067.0</v>
      </c>
      <c r="G22" s="7"/>
      <c r="H22" s="7"/>
      <c r="I22" s="7"/>
    </row>
    <row r="23" ht="22.5" customHeight="1">
      <c r="A23" s="5" t="s">
        <v>51</v>
      </c>
      <c r="B23" s="5" t="s">
        <v>52</v>
      </c>
      <c r="C23" s="5">
        <v>1.5</v>
      </c>
      <c r="D23" s="5">
        <v>20.0</v>
      </c>
      <c r="E23" s="5" t="s">
        <v>27</v>
      </c>
      <c r="F23" s="6">
        <v>46069.0</v>
      </c>
      <c r="G23" s="7"/>
      <c r="H23" s="7"/>
      <c r="I23" s="7"/>
    </row>
    <row r="24" ht="22.5" customHeight="1">
      <c r="A24" s="5" t="s">
        <v>53</v>
      </c>
      <c r="B24" s="5" t="s">
        <v>54</v>
      </c>
      <c r="C24" s="5">
        <v>9.0</v>
      </c>
      <c r="D24" s="5">
        <v>5.0</v>
      </c>
      <c r="E24" s="5" t="s">
        <v>35</v>
      </c>
      <c r="F24" s="6">
        <v>46071.0</v>
      </c>
      <c r="G24" s="7"/>
      <c r="H24" s="7"/>
      <c r="I24" s="7"/>
    </row>
    <row r="25" ht="22.5" customHeight="1">
      <c r="A25" s="5" t="s">
        <v>55</v>
      </c>
      <c r="B25" s="5" t="s">
        <v>56</v>
      </c>
      <c r="C25" s="5">
        <v>25.0</v>
      </c>
      <c r="D25" s="5">
        <v>12.0</v>
      </c>
      <c r="E25" s="5" t="s">
        <v>21</v>
      </c>
      <c r="F25" s="6">
        <v>46073.0</v>
      </c>
      <c r="G25" s="7"/>
      <c r="H25" s="7"/>
      <c r="I25" s="7"/>
    </row>
    <row r="26" ht="22.5" customHeight="1">
      <c r="A26" s="5" t="s">
        <v>57</v>
      </c>
      <c r="B26" s="5" t="s">
        <v>23</v>
      </c>
      <c r="C26" s="5">
        <v>3.0</v>
      </c>
      <c r="D26" s="5">
        <v>10.0</v>
      </c>
      <c r="E26" s="5" t="s">
        <v>9</v>
      </c>
      <c r="F26" s="6">
        <v>46075.0</v>
      </c>
      <c r="G26" s="7"/>
      <c r="H26" s="7"/>
      <c r="I26" s="7"/>
    </row>
    <row r="27" ht="22.5" customHeight="1">
      <c r="A27" s="5" t="s">
        <v>58</v>
      </c>
      <c r="B27" s="5" t="s">
        <v>59</v>
      </c>
      <c r="C27" s="5">
        <v>5.5</v>
      </c>
      <c r="D27" s="5">
        <v>7.0</v>
      </c>
      <c r="E27" s="5" t="s">
        <v>15</v>
      </c>
      <c r="F27" s="6">
        <v>46077.0</v>
      </c>
      <c r="G27" s="7"/>
      <c r="H27" s="7"/>
      <c r="I27" s="7"/>
    </row>
    <row r="28" ht="22.5" customHeight="1">
      <c r="A28" s="5" t="s">
        <v>60</v>
      </c>
      <c r="B28" s="5" t="s">
        <v>11</v>
      </c>
      <c r="C28" s="5">
        <v>12.0</v>
      </c>
      <c r="D28" s="5">
        <v>8.0</v>
      </c>
      <c r="E28" s="5" t="s">
        <v>32</v>
      </c>
      <c r="F28" s="6">
        <v>46079.0</v>
      </c>
      <c r="G28" s="7"/>
      <c r="H28" s="7"/>
      <c r="I28" s="7"/>
    </row>
    <row r="29" ht="22.5" customHeight="1">
      <c r="A29" s="5" t="s">
        <v>61</v>
      </c>
      <c r="B29" s="5" t="s">
        <v>62</v>
      </c>
      <c r="C29" s="5">
        <v>8.25</v>
      </c>
      <c r="D29" s="5">
        <v>5.0</v>
      </c>
      <c r="E29" s="5" t="s">
        <v>24</v>
      </c>
      <c r="F29" s="6">
        <v>46081.0</v>
      </c>
      <c r="G29" s="7"/>
      <c r="H29" s="7"/>
      <c r="I29" s="7"/>
    </row>
    <row r="30" ht="22.5" customHeight="1">
      <c r="A30" s="5" t="s">
        <v>63</v>
      </c>
      <c r="B30" s="5" t="s">
        <v>64</v>
      </c>
      <c r="C30" s="5">
        <v>15.0</v>
      </c>
      <c r="D30" s="5">
        <v>6.0</v>
      </c>
      <c r="E30" s="5" t="s">
        <v>27</v>
      </c>
      <c r="F30" s="6">
        <v>46082.0</v>
      </c>
      <c r="G30" s="7"/>
      <c r="H30" s="7"/>
      <c r="I30" s="7"/>
    </row>
    <row r="31" ht="22.5" customHeight="1">
      <c r="A31" s="5" t="s">
        <v>65</v>
      </c>
      <c r="B31" s="5" t="s">
        <v>41</v>
      </c>
      <c r="C31" s="5">
        <v>30.0</v>
      </c>
      <c r="D31" s="5">
        <v>4.0</v>
      </c>
      <c r="E31" s="5" t="s">
        <v>18</v>
      </c>
      <c r="F31" s="6">
        <v>46084.0</v>
      </c>
      <c r="G31" s="7"/>
      <c r="H31" s="7"/>
      <c r="I31" s="7"/>
    </row>
    <row r="32" ht="22.5" customHeight="1">
      <c r="A32" s="5" t="s">
        <v>66</v>
      </c>
      <c r="B32" s="5" t="s">
        <v>67</v>
      </c>
      <c r="C32" s="5">
        <v>2.75</v>
      </c>
      <c r="D32" s="5">
        <v>9.0</v>
      </c>
      <c r="E32" s="5" t="s">
        <v>35</v>
      </c>
      <c r="F32" s="6">
        <v>46086.0</v>
      </c>
      <c r="G32" s="7"/>
      <c r="H32" s="7"/>
      <c r="I32" s="7"/>
    </row>
    <row r="33" ht="22.5" customHeight="1">
      <c r="A33" s="5" t="s">
        <v>68</v>
      </c>
      <c r="B33" s="5" t="s">
        <v>69</v>
      </c>
      <c r="C33" s="5">
        <v>4.5</v>
      </c>
      <c r="D33" s="5">
        <v>3.0</v>
      </c>
      <c r="E33" s="5" t="s">
        <v>29</v>
      </c>
      <c r="F33" s="6">
        <v>46088.0</v>
      </c>
      <c r="G33" s="7"/>
      <c r="H33" s="7"/>
      <c r="I33" s="7"/>
    </row>
    <row r="34" ht="22.5" customHeight="1">
      <c r="A34" s="5" t="s">
        <v>70</v>
      </c>
      <c r="B34" s="5" t="s">
        <v>59</v>
      </c>
      <c r="C34" s="5">
        <v>20.0</v>
      </c>
      <c r="D34" s="5">
        <v>10.0</v>
      </c>
      <c r="E34" s="5" t="s">
        <v>9</v>
      </c>
      <c r="F34" s="6">
        <v>46091.0</v>
      </c>
      <c r="G34" s="7"/>
      <c r="H34" s="7"/>
      <c r="I34" s="7"/>
    </row>
    <row r="35" ht="22.5" customHeight="1">
      <c r="A35" s="5" t="s">
        <v>71</v>
      </c>
      <c r="B35" s="5" t="s">
        <v>56</v>
      </c>
      <c r="C35" s="5">
        <v>6.0</v>
      </c>
      <c r="D35" s="5">
        <v>8.0</v>
      </c>
      <c r="E35" s="5" t="s">
        <v>12</v>
      </c>
      <c r="F35" s="6">
        <v>46093.0</v>
      </c>
      <c r="G35" s="7"/>
      <c r="H35" s="7"/>
      <c r="I35" s="7"/>
    </row>
    <row r="36" ht="22.5" customHeight="1">
      <c r="A36" s="5" t="s">
        <v>72</v>
      </c>
      <c r="B36" s="5" t="s">
        <v>73</v>
      </c>
      <c r="C36" s="5">
        <v>8.0</v>
      </c>
      <c r="D36" s="5">
        <v>6.0</v>
      </c>
      <c r="E36" s="5" t="s">
        <v>15</v>
      </c>
      <c r="F36" s="6">
        <v>46095.0</v>
      </c>
      <c r="G36" s="7"/>
      <c r="H36" s="7"/>
      <c r="I36" s="7"/>
    </row>
    <row r="37" ht="22.5" customHeight="1">
      <c r="A37" s="5" t="s">
        <v>74</v>
      </c>
      <c r="B37" s="5" t="s">
        <v>20</v>
      </c>
      <c r="C37" s="5">
        <v>17.0</v>
      </c>
      <c r="D37" s="5">
        <v>12.0</v>
      </c>
      <c r="E37" s="5" t="s">
        <v>32</v>
      </c>
      <c r="F37" s="6">
        <v>46097.0</v>
      </c>
      <c r="G37" s="7"/>
      <c r="H37" s="7"/>
      <c r="I37" s="7"/>
    </row>
    <row r="38" ht="22.5" customHeight="1">
      <c r="A38" s="5" t="s">
        <v>75</v>
      </c>
      <c r="B38" s="5" t="s">
        <v>31</v>
      </c>
      <c r="C38" s="5">
        <v>22.0</v>
      </c>
      <c r="D38" s="5">
        <v>2.0</v>
      </c>
      <c r="E38" s="5" t="s">
        <v>21</v>
      </c>
      <c r="F38" s="6">
        <v>46099.0</v>
      </c>
      <c r="G38" s="7"/>
      <c r="H38" s="7"/>
      <c r="I38" s="7"/>
    </row>
    <row r="39" ht="22.5" customHeight="1">
      <c r="A39" s="5" t="s">
        <v>76</v>
      </c>
      <c r="B39" s="5" t="s">
        <v>43</v>
      </c>
      <c r="C39" s="5">
        <v>40.0</v>
      </c>
      <c r="D39" s="5">
        <v>5.0</v>
      </c>
      <c r="E39" s="5" t="s">
        <v>24</v>
      </c>
      <c r="F39" s="6">
        <v>46101.0</v>
      </c>
      <c r="G39" s="7"/>
      <c r="H39" s="7"/>
      <c r="I39" s="7"/>
    </row>
    <row r="40" ht="22.5" customHeight="1">
      <c r="A40" s="5" t="s">
        <v>77</v>
      </c>
      <c r="B40" s="5" t="s">
        <v>78</v>
      </c>
      <c r="C40" s="5">
        <v>3.25</v>
      </c>
      <c r="D40" s="5">
        <v>3.0</v>
      </c>
      <c r="E40" s="5" t="s">
        <v>27</v>
      </c>
      <c r="F40" s="6">
        <v>46103.0</v>
      </c>
      <c r="G40" s="7"/>
      <c r="H40" s="7"/>
      <c r="I40" s="7"/>
    </row>
    <row r="41" ht="22.5" customHeight="1">
      <c r="A41" s="5" t="s">
        <v>79</v>
      </c>
      <c r="B41" s="5" t="s">
        <v>34</v>
      </c>
      <c r="C41" s="5">
        <v>2.5</v>
      </c>
      <c r="D41" s="5">
        <v>7.0</v>
      </c>
      <c r="E41" s="5" t="s">
        <v>18</v>
      </c>
      <c r="F41" s="6">
        <v>46106.0</v>
      </c>
      <c r="G41" s="7"/>
      <c r="H41" s="7"/>
      <c r="I41" s="7"/>
    </row>
    <row r="42" ht="22.5" customHeight="1">
      <c r="A42" s="5" t="s">
        <v>80</v>
      </c>
      <c r="B42" s="5" t="s">
        <v>59</v>
      </c>
      <c r="C42" s="5">
        <v>10.0</v>
      </c>
      <c r="D42" s="5">
        <v>4.0</v>
      </c>
      <c r="E42" s="5" t="s">
        <v>35</v>
      </c>
      <c r="F42" s="6">
        <v>46108.0</v>
      </c>
      <c r="G42" s="7"/>
      <c r="H42" s="7"/>
      <c r="I42" s="7"/>
    </row>
    <row r="43" ht="22.5" customHeight="1">
      <c r="A43" s="5" t="s">
        <v>81</v>
      </c>
      <c r="B43" s="5" t="s">
        <v>23</v>
      </c>
      <c r="C43" s="5">
        <v>7.0</v>
      </c>
      <c r="D43" s="5">
        <v>15.0</v>
      </c>
      <c r="E43" s="5" t="s">
        <v>29</v>
      </c>
      <c r="F43" s="6">
        <v>46110.0</v>
      </c>
      <c r="G43" s="7"/>
      <c r="H43" s="7"/>
      <c r="I43" s="7"/>
    </row>
    <row r="44" ht="22.5" customHeight="1">
      <c r="A44" s="5" t="s">
        <v>82</v>
      </c>
      <c r="B44" s="5" t="s">
        <v>17</v>
      </c>
      <c r="C44" s="9"/>
      <c r="D44" s="5">
        <v>8.0</v>
      </c>
      <c r="E44" s="5" t="s">
        <v>12</v>
      </c>
      <c r="F44" s="6">
        <v>46112.0</v>
      </c>
      <c r="G44" s="7"/>
      <c r="H44" s="7"/>
      <c r="I44" s="7"/>
    </row>
    <row r="45">
      <c r="B45" s="10"/>
      <c r="C45" s="10"/>
    </row>
    <row r="46">
      <c r="B46" s="10"/>
      <c r="C46" s="10"/>
      <c r="D46" s="10"/>
    </row>
    <row r="47">
      <c r="B47" s="10"/>
      <c r="C47" s="10"/>
      <c r="D47" s="10"/>
    </row>
    <row r="48">
      <c r="B48" s="10"/>
      <c r="C48" s="10"/>
      <c r="D48" s="10"/>
    </row>
    <row r="49">
      <c r="B49" s="10"/>
      <c r="C49" s="10"/>
      <c r="D49" s="10"/>
    </row>
    <row r="50">
      <c r="B50" s="10"/>
      <c r="C50" s="10"/>
      <c r="D50" s="10"/>
    </row>
    <row r="51">
      <c r="B51" s="10"/>
      <c r="C51" s="10"/>
      <c r="D51" s="10"/>
    </row>
    <row r="52">
      <c r="B52" s="10"/>
      <c r="C52" s="10"/>
      <c r="D52" s="10"/>
    </row>
    <row r="53">
      <c r="B53" s="10"/>
      <c r="C53" s="10"/>
      <c r="D53" s="10"/>
    </row>
    <row r="54">
      <c r="B54" s="10"/>
      <c r="C54" s="10"/>
      <c r="D54" s="10"/>
    </row>
    <row r="55">
      <c r="B55" s="10"/>
      <c r="C55" s="10"/>
      <c r="D55" s="10"/>
    </row>
    <row r="56">
      <c r="B56" s="10"/>
      <c r="C56" s="10"/>
      <c r="D56" s="10"/>
    </row>
    <row r="57">
      <c r="B57" s="10"/>
      <c r="C57" s="10"/>
      <c r="D57" s="10"/>
    </row>
    <row r="58">
      <c r="B58" s="10"/>
      <c r="C58" s="10"/>
      <c r="D58" s="10"/>
    </row>
    <row r="59">
      <c r="B59" s="10"/>
      <c r="C59" s="10"/>
      <c r="D59" s="10"/>
    </row>
    <row r="60">
      <c r="B60" s="10"/>
      <c r="C60" s="10"/>
      <c r="D60" s="10"/>
    </row>
    <row r="61">
      <c r="B61" s="10"/>
      <c r="C61" s="10"/>
      <c r="D61" s="10"/>
    </row>
    <row r="62">
      <c r="B62" s="10"/>
      <c r="C62" s="10"/>
      <c r="D62" s="10"/>
    </row>
    <row r="63">
      <c r="B63" s="10"/>
      <c r="C63" s="10"/>
      <c r="D63" s="10"/>
    </row>
    <row r="64">
      <c r="B64" s="10"/>
      <c r="C64" s="10"/>
      <c r="D64" s="10"/>
    </row>
    <row r="65">
      <c r="B65" s="10"/>
      <c r="C65" s="10"/>
      <c r="D65" s="10"/>
    </row>
    <row r="66">
      <c r="B66" s="10"/>
      <c r="C66" s="10"/>
      <c r="D66" s="10"/>
    </row>
    <row r="67">
      <c r="B67" s="10"/>
      <c r="C67" s="10"/>
      <c r="D67" s="10"/>
    </row>
    <row r="68">
      <c r="B68" s="10"/>
      <c r="C68" s="10"/>
      <c r="D68" s="10"/>
    </row>
    <row r="69">
      <c r="B69" s="10"/>
      <c r="C69" s="10"/>
      <c r="D69" s="10"/>
    </row>
    <row r="70">
      <c r="B70" s="10"/>
      <c r="C70" s="10"/>
      <c r="D70" s="10"/>
    </row>
    <row r="71">
      <c r="B71" s="10"/>
      <c r="C71" s="10"/>
      <c r="D71" s="10"/>
    </row>
    <row r="72">
      <c r="B72" s="10"/>
      <c r="C72" s="10"/>
      <c r="D72" s="10"/>
    </row>
    <row r="73">
      <c r="B73" s="10"/>
      <c r="C73" s="10"/>
      <c r="D73" s="10"/>
    </row>
    <row r="74">
      <c r="B74" s="10"/>
      <c r="C74" s="10"/>
      <c r="D74" s="10"/>
    </row>
    <row r="75">
      <c r="B75" s="10"/>
      <c r="C75" s="10"/>
      <c r="D75" s="10"/>
    </row>
    <row r="76">
      <c r="B76" s="10"/>
      <c r="C76" s="10"/>
      <c r="D76" s="10"/>
    </row>
    <row r="77">
      <c r="B77" s="10"/>
      <c r="C77" s="10"/>
      <c r="D77" s="10"/>
    </row>
    <row r="78">
      <c r="B78" s="10"/>
      <c r="C78" s="10"/>
      <c r="D78" s="10"/>
    </row>
    <row r="79">
      <c r="B79" s="10"/>
      <c r="C79" s="10"/>
      <c r="D79" s="10"/>
    </row>
    <row r="80">
      <c r="B80" s="10"/>
      <c r="C80" s="10"/>
      <c r="D80" s="10"/>
    </row>
    <row r="81">
      <c r="B81" s="10"/>
      <c r="C81" s="10"/>
      <c r="D81" s="10"/>
    </row>
    <row r="82">
      <c r="B82" s="10"/>
      <c r="C82" s="10"/>
      <c r="D82" s="10"/>
    </row>
    <row r="83">
      <c r="B83" s="10"/>
      <c r="C83" s="10"/>
      <c r="D83" s="10"/>
    </row>
    <row r="84">
      <c r="B84" s="10"/>
      <c r="C84" s="10"/>
      <c r="D84" s="10"/>
    </row>
    <row r="85">
      <c r="B85" s="10"/>
      <c r="C85" s="10"/>
      <c r="D85" s="10"/>
    </row>
    <row r="86">
      <c r="B86" s="10"/>
      <c r="C86" s="10"/>
      <c r="D86" s="10"/>
    </row>
    <row r="87">
      <c r="B87" s="10"/>
      <c r="C87" s="10"/>
      <c r="D87" s="10"/>
    </row>
    <row r="88">
      <c r="B88" s="10"/>
      <c r="C88" s="10"/>
      <c r="D88" s="10"/>
    </row>
    <row r="89">
      <c r="B89" s="10"/>
      <c r="C89" s="10"/>
      <c r="D89" s="10"/>
    </row>
    <row r="90">
      <c r="B90" s="10"/>
      <c r="C90" s="10"/>
      <c r="D90" s="10"/>
    </row>
    <row r="91">
      <c r="B91" s="10"/>
      <c r="C91" s="10"/>
      <c r="D91" s="10"/>
    </row>
    <row r="92">
      <c r="B92" s="10"/>
      <c r="C92" s="10"/>
      <c r="D92" s="10"/>
    </row>
    <row r="93">
      <c r="B93" s="10"/>
      <c r="C93" s="10"/>
      <c r="D93" s="10"/>
    </row>
    <row r="94">
      <c r="B94" s="10"/>
      <c r="C94" s="10"/>
      <c r="D94" s="10"/>
    </row>
    <row r="95">
      <c r="B95" s="10"/>
      <c r="C95" s="10"/>
      <c r="D95" s="10"/>
    </row>
    <row r="96">
      <c r="B96" s="10"/>
      <c r="C96" s="10"/>
      <c r="D96" s="10"/>
    </row>
    <row r="97">
      <c r="B97" s="10"/>
      <c r="C97" s="10"/>
      <c r="D97" s="10"/>
    </row>
    <row r="98">
      <c r="B98" s="10"/>
      <c r="C98" s="10"/>
      <c r="D98" s="10"/>
    </row>
    <row r="99">
      <c r="B99" s="10"/>
      <c r="C99" s="10"/>
      <c r="D99" s="10"/>
    </row>
    <row r="100">
      <c r="B100" s="10"/>
      <c r="C100" s="10"/>
      <c r="D100" s="10"/>
    </row>
    <row r="101">
      <c r="B101" s="10"/>
      <c r="C101" s="10"/>
      <c r="D101" s="10"/>
    </row>
    <row r="102">
      <c r="B102" s="10"/>
      <c r="C102" s="10"/>
      <c r="D102" s="10"/>
    </row>
    <row r="103">
      <c r="B103" s="10"/>
      <c r="C103" s="10"/>
      <c r="D103" s="10"/>
    </row>
    <row r="104">
      <c r="B104" s="10"/>
      <c r="C104" s="10"/>
      <c r="D104" s="10"/>
    </row>
    <row r="105">
      <c r="B105" s="10"/>
      <c r="C105" s="10"/>
      <c r="D105" s="10"/>
    </row>
    <row r="106">
      <c r="B106" s="10"/>
      <c r="C106" s="10"/>
      <c r="D106" s="10"/>
    </row>
    <row r="107">
      <c r="B107" s="10"/>
      <c r="C107" s="10"/>
      <c r="D107" s="10"/>
    </row>
    <row r="108">
      <c r="B108" s="10"/>
      <c r="C108" s="10"/>
      <c r="D108" s="10"/>
    </row>
    <row r="109">
      <c r="B109" s="10"/>
      <c r="C109" s="10"/>
      <c r="D109" s="10"/>
    </row>
    <row r="110">
      <c r="B110" s="10"/>
      <c r="C110" s="10"/>
      <c r="D110" s="10"/>
    </row>
    <row r="111">
      <c r="B111" s="10"/>
      <c r="C111" s="10"/>
      <c r="D111" s="10"/>
    </row>
    <row r="112">
      <c r="B112" s="10"/>
      <c r="C112" s="10"/>
      <c r="D112" s="10"/>
    </row>
    <row r="113">
      <c r="B113" s="10"/>
      <c r="C113" s="10"/>
      <c r="D113" s="10"/>
    </row>
    <row r="114">
      <c r="B114" s="10"/>
      <c r="C114" s="10"/>
      <c r="D114" s="10"/>
    </row>
    <row r="115">
      <c r="B115" s="10"/>
      <c r="C115" s="10"/>
      <c r="D115" s="10"/>
    </row>
    <row r="116">
      <c r="B116" s="10"/>
      <c r="C116" s="10"/>
      <c r="D116" s="10"/>
    </row>
    <row r="117">
      <c r="B117" s="10"/>
      <c r="C117" s="10"/>
      <c r="D117" s="10"/>
    </row>
    <row r="118">
      <c r="B118" s="10"/>
      <c r="C118" s="10"/>
      <c r="D118" s="10"/>
    </row>
    <row r="119">
      <c r="B119" s="10"/>
      <c r="C119" s="10"/>
      <c r="D119" s="10"/>
    </row>
    <row r="120">
      <c r="B120" s="10"/>
      <c r="C120" s="10"/>
      <c r="D120" s="10"/>
    </row>
    <row r="121">
      <c r="B121" s="10"/>
      <c r="C121" s="10"/>
      <c r="D121" s="10"/>
    </row>
    <row r="122">
      <c r="B122" s="10"/>
      <c r="C122" s="10"/>
      <c r="D122" s="10"/>
    </row>
    <row r="123">
      <c r="B123" s="10"/>
      <c r="C123" s="10"/>
      <c r="D123" s="10"/>
    </row>
    <row r="124">
      <c r="B124" s="10"/>
      <c r="C124" s="10"/>
      <c r="D124" s="10"/>
    </row>
    <row r="125">
      <c r="B125" s="10"/>
      <c r="C125" s="10"/>
      <c r="D125" s="10"/>
    </row>
    <row r="126">
      <c r="B126" s="10"/>
      <c r="C126" s="10"/>
      <c r="D126" s="10"/>
    </row>
    <row r="127">
      <c r="B127" s="10"/>
      <c r="C127" s="10"/>
      <c r="D127" s="10"/>
    </row>
    <row r="128">
      <c r="B128" s="10"/>
      <c r="C128" s="10"/>
      <c r="D128" s="10"/>
    </row>
    <row r="129">
      <c r="B129" s="10"/>
      <c r="C129" s="10"/>
      <c r="D129" s="10"/>
    </row>
    <row r="130">
      <c r="B130" s="10"/>
      <c r="C130" s="10"/>
      <c r="D130" s="10"/>
    </row>
    <row r="131">
      <c r="B131" s="10"/>
      <c r="C131" s="10"/>
      <c r="D131" s="10"/>
    </row>
    <row r="132">
      <c r="B132" s="10"/>
      <c r="C132" s="10"/>
      <c r="D132" s="10"/>
    </row>
    <row r="133">
      <c r="B133" s="10"/>
      <c r="C133" s="10"/>
      <c r="D133" s="10"/>
    </row>
    <row r="134">
      <c r="B134" s="10"/>
      <c r="C134" s="10"/>
      <c r="D134" s="10"/>
    </row>
    <row r="135">
      <c r="B135" s="10"/>
      <c r="C135" s="10"/>
      <c r="D135" s="10"/>
    </row>
    <row r="136">
      <c r="B136" s="10"/>
      <c r="C136" s="10"/>
      <c r="D136" s="10"/>
    </row>
    <row r="137">
      <c r="B137" s="10"/>
      <c r="C137" s="10"/>
      <c r="D137" s="10"/>
    </row>
    <row r="138">
      <c r="B138" s="10"/>
      <c r="C138" s="10"/>
      <c r="D138" s="10"/>
    </row>
    <row r="139">
      <c r="B139" s="10"/>
      <c r="C139" s="10"/>
      <c r="D139" s="10"/>
    </row>
    <row r="140">
      <c r="B140" s="10"/>
      <c r="C140" s="10"/>
      <c r="D140" s="10"/>
    </row>
    <row r="141">
      <c r="B141" s="10"/>
      <c r="C141" s="10"/>
      <c r="D141" s="10"/>
    </row>
    <row r="142">
      <c r="B142" s="10"/>
      <c r="C142" s="10"/>
      <c r="D142" s="10"/>
    </row>
    <row r="143">
      <c r="B143" s="10"/>
      <c r="C143" s="10"/>
      <c r="D143" s="10"/>
    </row>
    <row r="144">
      <c r="B144" s="10"/>
      <c r="C144" s="10"/>
      <c r="D144" s="10"/>
    </row>
    <row r="145">
      <c r="B145" s="10"/>
      <c r="C145" s="10"/>
      <c r="D145" s="10"/>
    </row>
    <row r="146">
      <c r="B146" s="10"/>
      <c r="C146" s="10"/>
      <c r="D146" s="10"/>
    </row>
    <row r="147">
      <c r="B147" s="10"/>
      <c r="C147" s="10"/>
      <c r="D147" s="10"/>
    </row>
    <row r="148">
      <c r="B148" s="10"/>
      <c r="C148" s="10"/>
      <c r="D148" s="10"/>
    </row>
    <row r="149">
      <c r="B149" s="10"/>
      <c r="C149" s="10"/>
      <c r="D149" s="10"/>
    </row>
    <row r="150">
      <c r="B150" s="10"/>
      <c r="C150" s="10"/>
      <c r="D150" s="10"/>
    </row>
    <row r="151">
      <c r="B151" s="10"/>
      <c r="C151" s="10"/>
      <c r="D151" s="10"/>
    </row>
    <row r="152">
      <c r="B152" s="10"/>
      <c r="C152" s="10"/>
      <c r="D152" s="10"/>
    </row>
    <row r="153">
      <c r="B153" s="10"/>
      <c r="C153" s="10"/>
      <c r="D153" s="10"/>
    </row>
    <row r="154">
      <c r="B154" s="10"/>
      <c r="C154" s="10"/>
      <c r="D154" s="10"/>
    </row>
    <row r="155">
      <c r="B155" s="10"/>
      <c r="C155" s="10"/>
      <c r="D155" s="10"/>
    </row>
    <row r="156">
      <c r="B156" s="10"/>
      <c r="C156" s="10"/>
      <c r="D156" s="10"/>
    </row>
    <row r="157">
      <c r="B157" s="10"/>
      <c r="C157" s="10"/>
      <c r="D157" s="10"/>
    </row>
    <row r="158">
      <c r="B158" s="10"/>
      <c r="C158" s="10"/>
      <c r="D158" s="10"/>
    </row>
    <row r="159">
      <c r="B159" s="10"/>
      <c r="C159" s="10"/>
      <c r="D159" s="10"/>
    </row>
    <row r="160">
      <c r="B160" s="10"/>
      <c r="C160" s="10"/>
      <c r="D160" s="10"/>
    </row>
    <row r="161">
      <c r="B161" s="10"/>
      <c r="C161" s="10"/>
      <c r="D161" s="10"/>
    </row>
    <row r="162">
      <c r="B162" s="10"/>
      <c r="C162" s="10"/>
      <c r="D162" s="10"/>
    </row>
    <row r="163">
      <c r="B163" s="10"/>
      <c r="C163" s="10"/>
      <c r="D163" s="10"/>
    </row>
    <row r="164">
      <c r="B164" s="10"/>
      <c r="C164" s="10"/>
      <c r="D164" s="10"/>
    </row>
    <row r="165">
      <c r="B165" s="10"/>
      <c r="C165" s="10"/>
      <c r="D165" s="10"/>
    </row>
    <row r="166">
      <c r="B166" s="10"/>
      <c r="C166" s="10"/>
      <c r="D166" s="10"/>
    </row>
    <row r="167">
      <c r="B167" s="10"/>
      <c r="C167" s="10"/>
      <c r="D167" s="10"/>
    </row>
    <row r="168">
      <c r="B168" s="10"/>
      <c r="C168" s="10"/>
      <c r="D168" s="10"/>
    </row>
    <row r="169">
      <c r="B169" s="10"/>
      <c r="C169" s="10"/>
      <c r="D169" s="10"/>
    </row>
    <row r="170">
      <c r="B170" s="10"/>
      <c r="C170" s="10"/>
      <c r="D170" s="10"/>
    </row>
    <row r="171">
      <c r="B171" s="10"/>
      <c r="C171" s="10"/>
      <c r="D171" s="10"/>
    </row>
    <row r="172">
      <c r="B172" s="10"/>
      <c r="C172" s="10"/>
      <c r="D172" s="10"/>
    </row>
    <row r="173">
      <c r="B173" s="10"/>
      <c r="C173" s="10"/>
      <c r="D173" s="10"/>
    </row>
    <row r="174">
      <c r="B174" s="10"/>
      <c r="C174" s="10"/>
      <c r="D174" s="10"/>
    </row>
    <row r="175">
      <c r="B175" s="10"/>
      <c r="C175" s="10"/>
      <c r="D175" s="10"/>
    </row>
    <row r="176">
      <c r="B176" s="10"/>
      <c r="C176" s="10"/>
      <c r="D176" s="10"/>
    </row>
    <row r="177">
      <c r="B177" s="10"/>
      <c r="C177" s="10"/>
      <c r="D177" s="10"/>
    </row>
    <row r="178">
      <c r="B178" s="10"/>
      <c r="C178" s="10"/>
      <c r="D178" s="10"/>
    </row>
    <row r="179">
      <c r="B179" s="10"/>
      <c r="C179" s="10"/>
      <c r="D179" s="10"/>
    </row>
    <row r="180">
      <c r="B180" s="10"/>
      <c r="C180" s="10"/>
      <c r="D180" s="10"/>
    </row>
    <row r="181">
      <c r="B181" s="10"/>
      <c r="C181" s="10"/>
      <c r="D181" s="10"/>
    </row>
    <row r="182">
      <c r="B182" s="10"/>
      <c r="C182" s="10"/>
      <c r="D182" s="10"/>
    </row>
    <row r="183">
      <c r="B183" s="10"/>
      <c r="C183" s="10"/>
      <c r="D183" s="10"/>
    </row>
    <row r="184">
      <c r="B184" s="10"/>
      <c r="C184" s="10"/>
      <c r="D184" s="10"/>
    </row>
    <row r="185">
      <c r="B185" s="10"/>
      <c r="C185" s="10"/>
      <c r="D185" s="10"/>
    </row>
    <row r="186">
      <c r="B186" s="10"/>
      <c r="C186" s="10"/>
      <c r="D186" s="10"/>
    </row>
    <row r="187">
      <c r="B187" s="10"/>
      <c r="C187" s="10"/>
      <c r="D187" s="10"/>
    </row>
    <row r="188">
      <c r="B188" s="10"/>
      <c r="C188" s="10"/>
      <c r="D188" s="10"/>
    </row>
    <row r="189">
      <c r="B189" s="10"/>
      <c r="C189" s="10"/>
      <c r="D189" s="10"/>
    </row>
    <row r="190">
      <c r="B190" s="10"/>
      <c r="C190" s="10"/>
      <c r="D190" s="10"/>
    </row>
    <row r="191">
      <c r="B191" s="10"/>
      <c r="C191" s="10"/>
      <c r="D191" s="10"/>
    </row>
    <row r="192">
      <c r="B192" s="10"/>
      <c r="C192" s="10"/>
      <c r="D192" s="10"/>
    </row>
    <row r="193">
      <c r="B193" s="10"/>
      <c r="C193" s="10"/>
      <c r="D193" s="10"/>
    </row>
    <row r="194">
      <c r="B194" s="10"/>
      <c r="C194" s="10"/>
      <c r="D194" s="10"/>
    </row>
    <row r="195">
      <c r="B195" s="10"/>
      <c r="C195" s="10"/>
      <c r="D195" s="10"/>
    </row>
    <row r="196">
      <c r="B196" s="10"/>
      <c r="C196" s="10"/>
      <c r="D196" s="10"/>
    </row>
    <row r="197">
      <c r="B197" s="10"/>
      <c r="C197" s="10"/>
      <c r="D197" s="10"/>
    </row>
    <row r="198">
      <c r="B198" s="10"/>
      <c r="C198" s="10"/>
      <c r="D198" s="10"/>
    </row>
    <row r="199">
      <c r="B199" s="10"/>
      <c r="C199" s="10"/>
      <c r="D199" s="10"/>
    </row>
    <row r="200">
      <c r="B200" s="10"/>
      <c r="C200" s="10"/>
      <c r="D200" s="10"/>
    </row>
    <row r="201">
      <c r="B201" s="10"/>
      <c r="C201" s="10"/>
      <c r="D201" s="10"/>
    </row>
    <row r="202">
      <c r="B202" s="10"/>
      <c r="C202" s="10"/>
      <c r="D202" s="10"/>
    </row>
    <row r="203">
      <c r="B203" s="10"/>
      <c r="C203" s="10"/>
      <c r="D203" s="10"/>
    </row>
    <row r="204">
      <c r="B204" s="10"/>
      <c r="C204" s="10"/>
      <c r="D204" s="10"/>
    </row>
    <row r="205">
      <c r="B205" s="10"/>
      <c r="C205" s="10"/>
      <c r="D205" s="10"/>
    </row>
    <row r="206">
      <c r="B206" s="10"/>
      <c r="C206" s="10"/>
      <c r="D206" s="10"/>
    </row>
    <row r="207">
      <c r="B207" s="10"/>
      <c r="C207" s="10"/>
      <c r="D207" s="10"/>
    </row>
    <row r="208">
      <c r="B208" s="10"/>
      <c r="C208" s="10"/>
      <c r="D208" s="10"/>
    </row>
    <row r="209">
      <c r="B209" s="10"/>
      <c r="C209" s="10"/>
      <c r="D209" s="10"/>
    </row>
    <row r="210">
      <c r="B210" s="10"/>
      <c r="C210" s="10"/>
      <c r="D210" s="10"/>
    </row>
    <row r="211">
      <c r="B211" s="10"/>
      <c r="C211" s="10"/>
      <c r="D211" s="10"/>
    </row>
    <row r="212">
      <c r="B212" s="10"/>
      <c r="C212" s="10"/>
      <c r="D212" s="10"/>
    </row>
    <row r="213">
      <c r="B213" s="10"/>
      <c r="C213" s="10"/>
      <c r="D213" s="10"/>
    </row>
    <row r="214">
      <c r="B214" s="10"/>
      <c r="C214" s="10"/>
      <c r="D214" s="10"/>
    </row>
    <row r="215">
      <c r="B215" s="10"/>
      <c r="C215" s="10"/>
      <c r="D215" s="10"/>
    </row>
    <row r="216">
      <c r="B216" s="10"/>
      <c r="C216" s="10"/>
      <c r="D216" s="10"/>
    </row>
    <row r="217">
      <c r="B217" s="10"/>
      <c r="C217" s="10"/>
      <c r="D217" s="10"/>
    </row>
    <row r="218">
      <c r="B218" s="10"/>
      <c r="C218" s="10"/>
      <c r="D218" s="10"/>
    </row>
    <row r="219">
      <c r="B219" s="10"/>
      <c r="C219" s="10"/>
      <c r="D219" s="10"/>
    </row>
    <row r="220">
      <c r="B220" s="10"/>
      <c r="C220" s="10"/>
      <c r="D220" s="10"/>
    </row>
    <row r="221">
      <c r="B221" s="10"/>
      <c r="C221" s="10"/>
      <c r="D221" s="10"/>
    </row>
    <row r="222">
      <c r="B222" s="10"/>
      <c r="C222" s="10"/>
      <c r="D222" s="10"/>
    </row>
    <row r="223">
      <c r="B223" s="10"/>
      <c r="C223" s="10"/>
      <c r="D223" s="10"/>
    </row>
    <row r="224">
      <c r="B224" s="10"/>
      <c r="C224" s="10"/>
      <c r="D224" s="10"/>
    </row>
    <row r="225">
      <c r="B225" s="10"/>
      <c r="C225" s="10"/>
      <c r="D225" s="10"/>
    </row>
    <row r="226">
      <c r="B226" s="10"/>
      <c r="C226" s="10"/>
      <c r="D226" s="10"/>
    </row>
    <row r="227">
      <c r="B227" s="10"/>
      <c r="C227" s="10"/>
      <c r="D227" s="10"/>
    </row>
    <row r="228">
      <c r="B228" s="10"/>
      <c r="C228" s="10"/>
      <c r="D228" s="10"/>
    </row>
    <row r="229">
      <c r="B229" s="10"/>
      <c r="C229" s="10"/>
      <c r="D229" s="10"/>
    </row>
    <row r="230">
      <c r="B230" s="10"/>
      <c r="C230" s="10"/>
      <c r="D230" s="10"/>
    </row>
    <row r="231">
      <c r="B231" s="10"/>
      <c r="C231" s="10"/>
      <c r="D231" s="10"/>
    </row>
    <row r="232">
      <c r="B232" s="10"/>
      <c r="C232" s="10"/>
      <c r="D232" s="10"/>
    </row>
    <row r="233">
      <c r="B233" s="10"/>
      <c r="C233" s="10"/>
      <c r="D233" s="10"/>
    </row>
    <row r="234">
      <c r="B234" s="10"/>
      <c r="C234" s="10"/>
      <c r="D234" s="10"/>
    </row>
    <row r="235">
      <c r="B235" s="10"/>
      <c r="C235" s="10"/>
      <c r="D235" s="10"/>
    </row>
    <row r="236">
      <c r="B236" s="10"/>
      <c r="C236" s="10"/>
      <c r="D236" s="10"/>
    </row>
    <row r="237">
      <c r="B237" s="10"/>
      <c r="C237" s="10"/>
      <c r="D237" s="10"/>
    </row>
    <row r="238">
      <c r="B238" s="10"/>
      <c r="C238" s="10"/>
      <c r="D238" s="10"/>
    </row>
    <row r="239">
      <c r="B239" s="10"/>
      <c r="C239" s="10"/>
      <c r="D239" s="10"/>
    </row>
    <row r="240">
      <c r="B240" s="10"/>
      <c r="C240" s="10"/>
      <c r="D240" s="10"/>
    </row>
    <row r="241">
      <c r="B241" s="10"/>
      <c r="C241" s="10"/>
      <c r="D241" s="10"/>
    </row>
    <row r="242">
      <c r="B242" s="10"/>
      <c r="C242" s="10"/>
      <c r="D242" s="10"/>
    </row>
    <row r="243">
      <c r="B243" s="10"/>
      <c r="C243" s="10"/>
      <c r="D243" s="10"/>
    </row>
    <row r="244">
      <c r="B244" s="10"/>
      <c r="C244" s="10"/>
      <c r="D244" s="10"/>
    </row>
    <row r="245">
      <c r="B245" s="10"/>
      <c r="C245" s="10"/>
      <c r="D245" s="10"/>
    </row>
    <row r="246">
      <c r="B246" s="10"/>
      <c r="C246" s="10"/>
      <c r="D246" s="10"/>
    </row>
    <row r="247">
      <c r="B247" s="10"/>
      <c r="C247" s="10"/>
      <c r="D247" s="10"/>
    </row>
    <row r="248">
      <c r="B248" s="10"/>
      <c r="C248" s="10"/>
      <c r="D248" s="10"/>
    </row>
    <row r="249">
      <c r="B249" s="10"/>
      <c r="C249" s="10"/>
      <c r="D249" s="10"/>
    </row>
    <row r="250">
      <c r="B250" s="10"/>
      <c r="C250" s="10"/>
      <c r="D250" s="10"/>
    </row>
    <row r="251">
      <c r="B251" s="10"/>
      <c r="C251" s="10"/>
      <c r="D251" s="10"/>
    </row>
    <row r="252">
      <c r="B252" s="10"/>
      <c r="C252" s="10"/>
      <c r="D252" s="10"/>
    </row>
    <row r="253">
      <c r="B253" s="10"/>
      <c r="C253" s="10"/>
      <c r="D253" s="10"/>
    </row>
    <row r="254">
      <c r="B254" s="10"/>
      <c r="C254" s="10"/>
      <c r="D254" s="10"/>
    </row>
    <row r="255">
      <c r="B255" s="10"/>
      <c r="C255" s="10"/>
      <c r="D255" s="10"/>
    </row>
    <row r="256">
      <c r="B256" s="10"/>
      <c r="C256" s="10"/>
      <c r="D256" s="10"/>
    </row>
    <row r="257">
      <c r="B257" s="10"/>
      <c r="C257" s="10"/>
      <c r="D257" s="10"/>
    </row>
    <row r="258">
      <c r="B258" s="10"/>
      <c r="C258" s="10"/>
      <c r="D258" s="10"/>
    </row>
    <row r="259">
      <c r="B259" s="10"/>
      <c r="C259" s="10"/>
      <c r="D259" s="10"/>
    </row>
    <row r="260">
      <c r="B260" s="10"/>
      <c r="C260" s="10"/>
      <c r="D260" s="10"/>
    </row>
    <row r="261">
      <c r="B261" s="10"/>
      <c r="C261" s="10"/>
      <c r="D261" s="10"/>
    </row>
    <row r="262">
      <c r="B262" s="10"/>
      <c r="C262" s="10"/>
      <c r="D262" s="10"/>
    </row>
    <row r="263">
      <c r="B263" s="10"/>
      <c r="C263" s="10"/>
      <c r="D263" s="10"/>
    </row>
    <row r="264">
      <c r="B264" s="10"/>
      <c r="C264" s="10"/>
      <c r="D264" s="10"/>
    </row>
    <row r="265">
      <c r="B265" s="10"/>
      <c r="C265" s="10"/>
      <c r="D265" s="10"/>
    </row>
    <row r="266">
      <c r="B266" s="10"/>
      <c r="C266" s="10"/>
      <c r="D266" s="10"/>
    </row>
    <row r="267">
      <c r="B267" s="10"/>
      <c r="C267" s="10"/>
      <c r="D267" s="10"/>
    </row>
    <row r="268">
      <c r="B268" s="10"/>
      <c r="C268" s="10"/>
      <c r="D268" s="10"/>
    </row>
    <row r="269">
      <c r="B269" s="10"/>
      <c r="C269" s="10"/>
      <c r="D269" s="10"/>
    </row>
    <row r="270">
      <c r="B270" s="10"/>
      <c r="C270" s="10"/>
      <c r="D270" s="10"/>
    </row>
    <row r="271">
      <c r="B271" s="10"/>
      <c r="C271" s="10"/>
      <c r="D271" s="10"/>
    </row>
    <row r="272">
      <c r="B272" s="10"/>
      <c r="C272" s="10"/>
      <c r="D272" s="10"/>
    </row>
    <row r="273">
      <c r="B273" s="10"/>
      <c r="C273" s="10"/>
      <c r="D273" s="10"/>
    </row>
    <row r="274">
      <c r="B274" s="10"/>
      <c r="C274" s="10"/>
      <c r="D274" s="10"/>
    </row>
    <row r="275">
      <c r="B275" s="10"/>
      <c r="C275" s="10"/>
      <c r="D275" s="10"/>
    </row>
    <row r="276">
      <c r="B276" s="10"/>
      <c r="C276" s="10"/>
      <c r="D276" s="10"/>
    </row>
    <row r="277">
      <c r="B277" s="10"/>
      <c r="C277" s="10"/>
      <c r="D277" s="10"/>
    </row>
    <row r="278">
      <c r="B278" s="10"/>
      <c r="C278" s="10"/>
      <c r="D278" s="10"/>
    </row>
    <row r="279">
      <c r="B279" s="10"/>
      <c r="C279" s="10"/>
      <c r="D279" s="10"/>
    </row>
    <row r="280">
      <c r="B280" s="10"/>
      <c r="C280" s="10"/>
      <c r="D280" s="10"/>
    </row>
    <row r="281">
      <c r="B281" s="10"/>
      <c r="C281" s="10"/>
      <c r="D281" s="10"/>
    </row>
    <row r="282">
      <c r="B282" s="10"/>
      <c r="C282" s="10"/>
      <c r="D282" s="10"/>
    </row>
    <row r="283">
      <c r="B283" s="10"/>
      <c r="C283" s="10"/>
      <c r="D283" s="10"/>
    </row>
    <row r="284">
      <c r="B284" s="10"/>
      <c r="C284" s="10"/>
      <c r="D284" s="10"/>
    </row>
    <row r="285">
      <c r="B285" s="10"/>
      <c r="C285" s="10"/>
      <c r="D285" s="10"/>
    </row>
    <row r="286">
      <c r="B286" s="10"/>
      <c r="C286" s="10"/>
      <c r="D286" s="10"/>
    </row>
    <row r="287">
      <c r="B287" s="10"/>
      <c r="C287" s="10"/>
      <c r="D287" s="10"/>
    </row>
    <row r="288">
      <c r="B288" s="10"/>
      <c r="C288" s="10"/>
      <c r="D288" s="10"/>
    </row>
    <row r="289">
      <c r="B289" s="10"/>
      <c r="C289" s="10"/>
      <c r="D289" s="10"/>
    </row>
    <row r="290">
      <c r="B290" s="10"/>
      <c r="C290" s="10"/>
      <c r="D290" s="10"/>
    </row>
    <row r="291">
      <c r="B291" s="10"/>
      <c r="C291" s="10"/>
      <c r="D291" s="10"/>
    </row>
    <row r="292">
      <c r="B292" s="10"/>
      <c r="C292" s="10"/>
      <c r="D292" s="10"/>
    </row>
    <row r="293">
      <c r="B293" s="10"/>
      <c r="C293" s="10"/>
      <c r="D293" s="10"/>
    </row>
    <row r="294">
      <c r="B294" s="10"/>
      <c r="C294" s="10"/>
      <c r="D294" s="10"/>
    </row>
    <row r="295">
      <c r="B295" s="10"/>
      <c r="C295" s="10"/>
      <c r="D295" s="10"/>
    </row>
    <row r="296">
      <c r="B296" s="10"/>
      <c r="C296" s="10"/>
      <c r="D296" s="10"/>
    </row>
    <row r="297">
      <c r="B297" s="10"/>
      <c r="C297" s="10"/>
      <c r="D297" s="10"/>
    </row>
    <row r="298">
      <c r="B298" s="10"/>
      <c r="C298" s="10"/>
      <c r="D298" s="10"/>
    </row>
    <row r="299">
      <c r="B299" s="10"/>
      <c r="C299" s="10"/>
      <c r="D299" s="10"/>
    </row>
    <row r="300">
      <c r="B300" s="10"/>
      <c r="C300" s="10"/>
      <c r="D300" s="10"/>
    </row>
    <row r="301">
      <c r="B301" s="10"/>
      <c r="C301" s="10"/>
      <c r="D301" s="10"/>
    </row>
    <row r="302">
      <c r="B302" s="10"/>
      <c r="C302" s="10"/>
      <c r="D302" s="10"/>
    </row>
    <row r="303">
      <c r="B303" s="10"/>
      <c r="C303" s="10"/>
      <c r="D303" s="10"/>
    </row>
    <row r="304">
      <c r="B304" s="10"/>
      <c r="C304" s="10"/>
      <c r="D304" s="10"/>
    </row>
    <row r="305">
      <c r="B305" s="10"/>
      <c r="C305" s="10"/>
      <c r="D305" s="10"/>
    </row>
    <row r="306">
      <c r="B306" s="10"/>
      <c r="C306" s="10"/>
      <c r="D306" s="10"/>
    </row>
    <row r="307">
      <c r="B307" s="10"/>
      <c r="C307" s="10"/>
      <c r="D307" s="10"/>
    </row>
    <row r="308">
      <c r="B308" s="10"/>
      <c r="C308" s="10"/>
      <c r="D308" s="10"/>
    </row>
    <row r="309">
      <c r="B309" s="10"/>
      <c r="C309" s="10"/>
      <c r="D309" s="10"/>
    </row>
    <row r="310">
      <c r="B310" s="10"/>
      <c r="C310" s="10"/>
      <c r="D310" s="10"/>
    </row>
    <row r="311">
      <c r="B311" s="10"/>
      <c r="C311" s="10"/>
      <c r="D311" s="10"/>
    </row>
    <row r="312">
      <c r="B312" s="10"/>
      <c r="C312" s="10"/>
      <c r="D312" s="10"/>
    </row>
    <row r="313">
      <c r="B313" s="10"/>
      <c r="C313" s="10"/>
      <c r="D313" s="10"/>
    </row>
    <row r="314">
      <c r="B314" s="10"/>
      <c r="C314" s="10"/>
      <c r="D314" s="10"/>
    </row>
    <row r="315">
      <c r="B315" s="10"/>
      <c r="C315" s="10"/>
      <c r="D315" s="10"/>
    </row>
    <row r="316">
      <c r="B316" s="10"/>
      <c r="C316" s="10"/>
      <c r="D316" s="10"/>
    </row>
    <row r="317">
      <c r="B317" s="10"/>
      <c r="C317" s="10"/>
      <c r="D317" s="10"/>
    </row>
    <row r="318">
      <c r="B318" s="10"/>
      <c r="C318" s="10"/>
      <c r="D318" s="10"/>
    </row>
    <row r="319">
      <c r="B319" s="10"/>
      <c r="C319" s="10"/>
      <c r="D319" s="10"/>
    </row>
    <row r="320">
      <c r="B320" s="10"/>
      <c r="C320" s="10"/>
      <c r="D320" s="10"/>
    </row>
    <row r="321">
      <c r="B321" s="10"/>
      <c r="C321" s="10"/>
      <c r="D321" s="10"/>
    </row>
    <row r="322">
      <c r="B322" s="10"/>
      <c r="C322" s="10"/>
      <c r="D322" s="10"/>
    </row>
    <row r="323">
      <c r="B323" s="10"/>
      <c r="C323" s="10"/>
      <c r="D323" s="10"/>
    </row>
    <row r="324">
      <c r="B324" s="10"/>
      <c r="C324" s="10"/>
      <c r="D324" s="10"/>
    </row>
    <row r="325">
      <c r="B325" s="10"/>
      <c r="C325" s="10"/>
      <c r="D325" s="10"/>
    </row>
    <row r="326">
      <c r="B326" s="10"/>
      <c r="C326" s="10"/>
      <c r="D326" s="10"/>
    </row>
    <row r="327">
      <c r="B327" s="10"/>
      <c r="C327" s="10"/>
      <c r="D327" s="10"/>
    </row>
    <row r="328">
      <c r="B328" s="10"/>
      <c r="C328" s="10"/>
      <c r="D328" s="10"/>
    </row>
    <row r="329">
      <c r="B329" s="10"/>
      <c r="C329" s="10"/>
      <c r="D329" s="10"/>
    </row>
    <row r="330">
      <c r="B330" s="10"/>
      <c r="C330" s="10"/>
      <c r="D330" s="10"/>
    </row>
    <row r="331">
      <c r="B331" s="10"/>
      <c r="C331" s="10"/>
      <c r="D331" s="10"/>
    </row>
    <row r="332">
      <c r="B332" s="10"/>
      <c r="C332" s="10"/>
      <c r="D332" s="10"/>
    </row>
    <row r="333">
      <c r="B333" s="10"/>
      <c r="C333" s="10"/>
      <c r="D333" s="10"/>
    </row>
    <row r="334">
      <c r="B334" s="10"/>
      <c r="C334" s="10"/>
      <c r="D334" s="10"/>
    </row>
    <row r="335">
      <c r="B335" s="10"/>
      <c r="C335" s="10"/>
      <c r="D335" s="10"/>
    </row>
    <row r="336">
      <c r="B336" s="10"/>
      <c r="C336" s="10"/>
      <c r="D336" s="10"/>
    </row>
    <row r="337">
      <c r="B337" s="10"/>
      <c r="C337" s="10"/>
      <c r="D337" s="10"/>
    </row>
    <row r="338">
      <c r="B338" s="10"/>
      <c r="C338" s="10"/>
      <c r="D338" s="10"/>
    </row>
    <row r="339">
      <c r="B339" s="10"/>
      <c r="C339" s="10"/>
      <c r="D339" s="10"/>
    </row>
    <row r="340">
      <c r="B340" s="10"/>
      <c r="C340" s="10"/>
      <c r="D340" s="10"/>
    </row>
    <row r="341">
      <c r="B341" s="10"/>
      <c r="C341" s="10"/>
      <c r="D341" s="10"/>
    </row>
    <row r="342">
      <c r="B342" s="10"/>
      <c r="C342" s="10"/>
      <c r="D342" s="10"/>
    </row>
    <row r="343">
      <c r="B343" s="10"/>
      <c r="C343" s="10"/>
      <c r="D343" s="10"/>
    </row>
    <row r="344">
      <c r="B344" s="10"/>
      <c r="C344" s="10"/>
      <c r="D344" s="10"/>
    </row>
    <row r="345">
      <c r="B345" s="10"/>
      <c r="C345" s="10"/>
      <c r="D345" s="10"/>
    </row>
    <row r="346">
      <c r="B346" s="10"/>
      <c r="C346" s="10"/>
      <c r="D346" s="10"/>
    </row>
    <row r="347">
      <c r="B347" s="10"/>
      <c r="C347" s="10"/>
      <c r="D347" s="10"/>
    </row>
    <row r="348">
      <c r="B348" s="10"/>
      <c r="C348" s="10"/>
      <c r="D348" s="10"/>
    </row>
    <row r="349">
      <c r="B349" s="10"/>
      <c r="C349" s="10"/>
      <c r="D349" s="10"/>
    </row>
    <row r="350">
      <c r="B350" s="10"/>
      <c r="C350" s="10"/>
      <c r="D350" s="10"/>
    </row>
    <row r="351">
      <c r="B351" s="10"/>
      <c r="C351" s="10"/>
      <c r="D351" s="10"/>
    </row>
    <row r="352">
      <c r="B352" s="10"/>
      <c r="C352" s="10"/>
      <c r="D352" s="10"/>
    </row>
    <row r="353">
      <c r="B353" s="10"/>
      <c r="C353" s="10"/>
      <c r="D353" s="10"/>
    </row>
    <row r="354">
      <c r="B354" s="10"/>
      <c r="C354" s="10"/>
      <c r="D354" s="10"/>
    </row>
    <row r="355">
      <c r="B355" s="10"/>
      <c r="C355" s="10"/>
      <c r="D355" s="10"/>
    </row>
    <row r="356">
      <c r="B356" s="10"/>
      <c r="C356" s="10"/>
      <c r="D356" s="10"/>
    </row>
    <row r="357">
      <c r="B357" s="10"/>
      <c r="C357" s="10"/>
      <c r="D357" s="10"/>
    </row>
    <row r="358">
      <c r="B358" s="10"/>
      <c r="C358" s="10"/>
      <c r="D358" s="10"/>
    </row>
    <row r="359">
      <c r="B359" s="10"/>
      <c r="C359" s="10"/>
      <c r="D359" s="10"/>
    </row>
    <row r="360">
      <c r="B360" s="10"/>
      <c r="C360" s="10"/>
      <c r="D360" s="10"/>
    </row>
    <row r="361">
      <c r="B361" s="10"/>
      <c r="C361" s="10"/>
      <c r="D361" s="10"/>
    </row>
    <row r="362">
      <c r="B362" s="10"/>
      <c r="C362" s="10"/>
      <c r="D362" s="10"/>
    </row>
    <row r="363">
      <c r="B363" s="10"/>
      <c r="C363" s="10"/>
      <c r="D363" s="10"/>
    </row>
    <row r="364">
      <c r="B364" s="10"/>
      <c r="C364" s="10"/>
      <c r="D364" s="10"/>
    </row>
    <row r="365">
      <c r="B365" s="10"/>
      <c r="C365" s="10"/>
      <c r="D365" s="10"/>
    </row>
    <row r="366">
      <c r="B366" s="10"/>
      <c r="C366" s="10"/>
      <c r="D366" s="10"/>
    </row>
    <row r="367">
      <c r="B367" s="10"/>
      <c r="C367" s="10"/>
      <c r="D367" s="10"/>
    </row>
    <row r="368">
      <c r="B368" s="10"/>
      <c r="C368" s="10"/>
      <c r="D368" s="10"/>
    </row>
    <row r="369">
      <c r="B369" s="10"/>
      <c r="C369" s="10"/>
      <c r="D369" s="10"/>
    </row>
    <row r="370">
      <c r="B370" s="10"/>
      <c r="C370" s="10"/>
      <c r="D370" s="10"/>
    </row>
    <row r="371">
      <c r="B371" s="10"/>
      <c r="C371" s="10"/>
      <c r="D371" s="10"/>
    </row>
    <row r="372">
      <c r="B372" s="10"/>
      <c r="C372" s="10"/>
      <c r="D372" s="10"/>
    </row>
    <row r="373">
      <c r="B373" s="10"/>
      <c r="C373" s="10"/>
      <c r="D373" s="10"/>
    </row>
    <row r="374">
      <c r="B374" s="10"/>
      <c r="C374" s="10"/>
      <c r="D374" s="10"/>
    </row>
    <row r="375">
      <c r="B375" s="10"/>
      <c r="C375" s="10"/>
      <c r="D375" s="10"/>
    </row>
    <row r="376">
      <c r="B376" s="10"/>
      <c r="C376" s="10"/>
      <c r="D376" s="10"/>
    </row>
    <row r="377">
      <c r="B377" s="10"/>
      <c r="C377" s="10"/>
      <c r="D377" s="10"/>
    </row>
    <row r="378">
      <c r="B378" s="10"/>
      <c r="C378" s="10"/>
      <c r="D378" s="10"/>
    </row>
    <row r="379">
      <c r="B379" s="10"/>
      <c r="C379" s="10"/>
      <c r="D379" s="10"/>
    </row>
    <row r="380">
      <c r="B380" s="10"/>
      <c r="C380" s="10"/>
      <c r="D380" s="10"/>
    </row>
    <row r="381">
      <c r="B381" s="10"/>
      <c r="C381" s="10"/>
      <c r="D381" s="10"/>
    </row>
    <row r="382">
      <c r="B382" s="10"/>
      <c r="C382" s="10"/>
      <c r="D382" s="10"/>
    </row>
    <row r="383">
      <c r="B383" s="10"/>
      <c r="C383" s="10"/>
      <c r="D383" s="10"/>
    </row>
    <row r="384">
      <c r="B384" s="10"/>
      <c r="C384" s="10"/>
      <c r="D384" s="10"/>
    </row>
    <row r="385">
      <c r="B385" s="10"/>
      <c r="C385" s="10"/>
      <c r="D385" s="10"/>
    </row>
    <row r="386">
      <c r="B386" s="10"/>
      <c r="C386" s="10"/>
      <c r="D386" s="10"/>
    </row>
    <row r="387">
      <c r="B387" s="10"/>
      <c r="C387" s="10"/>
      <c r="D387" s="10"/>
    </row>
    <row r="388">
      <c r="B388" s="10"/>
      <c r="C388" s="10"/>
      <c r="D388" s="10"/>
    </row>
    <row r="389">
      <c r="B389" s="10"/>
      <c r="C389" s="10"/>
      <c r="D389" s="10"/>
    </row>
    <row r="390">
      <c r="B390" s="10"/>
      <c r="C390" s="10"/>
      <c r="D390" s="10"/>
    </row>
    <row r="391">
      <c r="B391" s="10"/>
      <c r="C391" s="10"/>
      <c r="D391" s="10"/>
    </row>
    <row r="392">
      <c r="B392" s="10"/>
      <c r="C392" s="10"/>
      <c r="D392" s="10"/>
    </row>
    <row r="393">
      <c r="B393" s="10"/>
      <c r="C393" s="10"/>
      <c r="D393" s="10"/>
    </row>
    <row r="394">
      <c r="B394" s="10"/>
      <c r="C394" s="10"/>
      <c r="D394" s="10"/>
    </row>
    <row r="395">
      <c r="B395" s="10"/>
      <c r="C395" s="10"/>
      <c r="D395" s="10"/>
    </row>
    <row r="396">
      <c r="B396" s="10"/>
      <c r="C396" s="10"/>
      <c r="D396" s="10"/>
    </row>
    <row r="397">
      <c r="B397" s="10"/>
      <c r="C397" s="10"/>
      <c r="D397" s="10"/>
    </row>
    <row r="398">
      <c r="B398" s="10"/>
      <c r="C398" s="10"/>
      <c r="D398" s="10"/>
    </row>
    <row r="399">
      <c r="B399" s="10"/>
      <c r="C399" s="10"/>
      <c r="D399" s="10"/>
    </row>
    <row r="400">
      <c r="B400" s="10"/>
      <c r="C400" s="10"/>
      <c r="D400" s="10"/>
    </row>
    <row r="401">
      <c r="B401" s="10"/>
      <c r="C401" s="10"/>
      <c r="D401" s="10"/>
    </row>
    <row r="402">
      <c r="B402" s="10"/>
      <c r="C402" s="10"/>
      <c r="D402" s="10"/>
    </row>
    <row r="403">
      <c r="B403" s="10"/>
      <c r="C403" s="10"/>
      <c r="D403" s="10"/>
    </row>
    <row r="404">
      <c r="B404" s="10"/>
      <c r="C404" s="10"/>
      <c r="D404" s="10"/>
    </row>
    <row r="405">
      <c r="B405" s="10"/>
      <c r="C405" s="10"/>
      <c r="D405" s="10"/>
    </row>
    <row r="406">
      <c r="B406" s="10"/>
      <c r="C406" s="10"/>
      <c r="D406" s="10"/>
    </row>
    <row r="407">
      <c r="B407" s="10"/>
      <c r="C407" s="10"/>
      <c r="D407" s="10"/>
    </row>
    <row r="408">
      <c r="B408" s="10"/>
      <c r="C408" s="10"/>
      <c r="D408" s="10"/>
    </row>
    <row r="409">
      <c r="B409" s="10"/>
      <c r="C409" s="10"/>
      <c r="D409" s="10"/>
    </row>
    <row r="410">
      <c r="B410" s="10"/>
      <c r="C410" s="10"/>
      <c r="D410" s="10"/>
    </row>
    <row r="411">
      <c r="B411" s="10"/>
      <c r="C411" s="10"/>
      <c r="D411" s="10"/>
    </row>
    <row r="412">
      <c r="B412" s="10"/>
      <c r="C412" s="10"/>
      <c r="D412" s="10"/>
    </row>
    <row r="413">
      <c r="B413" s="10"/>
      <c r="C413" s="10"/>
      <c r="D413" s="10"/>
    </row>
    <row r="414">
      <c r="B414" s="10"/>
      <c r="C414" s="10"/>
      <c r="D414" s="10"/>
    </row>
    <row r="415">
      <c r="B415" s="10"/>
      <c r="C415" s="10"/>
      <c r="D415" s="10"/>
    </row>
    <row r="416">
      <c r="B416" s="10"/>
      <c r="C416" s="10"/>
      <c r="D416" s="10"/>
    </row>
    <row r="417">
      <c r="B417" s="10"/>
      <c r="C417" s="10"/>
      <c r="D417" s="10"/>
    </row>
    <row r="418">
      <c r="B418" s="10"/>
      <c r="C418" s="10"/>
      <c r="D418" s="10"/>
    </row>
    <row r="419">
      <c r="B419" s="10"/>
      <c r="C419" s="10"/>
      <c r="D419" s="10"/>
    </row>
    <row r="420">
      <c r="B420" s="10"/>
      <c r="C420" s="10"/>
      <c r="D420" s="10"/>
    </row>
    <row r="421">
      <c r="B421" s="10"/>
      <c r="C421" s="10"/>
      <c r="D421" s="10"/>
    </row>
    <row r="422">
      <c r="B422" s="10"/>
      <c r="C422" s="10"/>
      <c r="D422" s="10"/>
    </row>
    <row r="423">
      <c r="B423" s="10"/>
      <c r="C423" s="10"/>
      <c r="D423" s="10"/>
    </row>
    <row r="424">
      <c r="B424" s="10"/>
      <c r="C424" s="10"/>
      <c r="D424" s="10"/>
    </row>
    <row r="425">
      <c r="B425" s="10"/>
      <c r="C425" s="10"/>
      <c r="D425" s="10"/>
    </row>
    <row r="426">
      <c r="B426" s="10"/>
      <c r="C426" s="10"/>
      <c r="D426" s="10"/>
    </row>
    <row r="427">
      <c r="B427" s="10"/>
      <c r="C427" s="10"/>
      <c r="D427" s="10"/>
    </row>
    <row r="428">
      <c r="B428" s="10"/>
      <c r="C428" s="10"/>
      <c r="D428" s="10"/>
    </row>
    <row r="429">
      <c r="B429" s="10"/>
      <c r="C429" s="10"/>
      <c r="D429" s="10"/>
    </row>
    <row r="430">
      <c r="B430" s="10"/>
      <c r="C430" s="10"/>
      <c r="D430" s="10"/>
    </row>
    <row r="431">
      <c r="B431" s="10"/>
      <c r="C431" s="10"/>
      <c r="D431" s="10"/>
    </row>
    <row r="432">
      <c r="B432" s="10"/>
      <c r="C432" s="10"/>
      <c r="D432" s="10"/>
    </row>
    <row r="433">
      <c r="B433" s="10"/>
      <c r="C433" s="10"/>
      <c r="D433" s="10"/>
    </row>
    <row r="434">
      <c r="B434" s="10"/>
      <c r="C434" s="10"/>
      <c r="D434" s="10"/>
    </row>
    <row r="435">
      <c r="B435" s="10"/>
      <c r="C435" s="10"/>
      <c r="D435" s="10"/>
    </row>
    <row r="436">
      <c r="B436" s="10"/>
      <c r="C436" s="10"/>
      <c r="D436" s="10"/>
    </row>
    <row r="437">
      <c r="B437" s="10"/>
      <c r="C437" s="10"/>
      <c r="D437" s="10"/>
    </row>
    <row r="438">
      <c r="B438" s="10"/>
      <c r="C438" s="10"/>
      <c r="D438" s="10"/>
    </row>
    <row r="439">
      <c r="B439" s="10"/>
      <c r="C439" s="10"/>
      <c r="D439" s="10"/>
    </row>
    <row r="440">
      <c r="B440" s="10"/>
      <c r="C440" s="10"/>
      <c r="D440" s="10"/>
    </row>
    <row r="441">
      <c r="B441" s="10"/>
      <c r="C441" s="10"/>
      <c r="D441" s="10"/>
    </row>
    <row r="442">
      <c r="B442" s="10"/>
      <c r="C442" s="10"/>
      <c r="D442" s="10"/>
    </row>
    <row r="443">
      <c r="B443" s="10"/>
      <c r="C443" s="10"/>
      <c r="D443" s="10"/>
    </row>
    <row r="444">
      <c r="B444" s="10"/>
      <c r="C444" s="10"/>
      <c r="D444" s="10"/>
    </row>
    <row r="445">
      <c r="B445" s="10"/>
      <c r="C445" s="10"/>
      <c r="D445" s="10"/>
    </row>
    <row r="446">
      <c r="B446" s="10"/>
      <c r="C446" s="10"/>
      <c r="D446" s="10"/>
    </row>
    <row r="447">
      <c r="B447" s="10"/>
      <c r="C447" s="10"/>
      <c r="D447" s="10"/>
    </row>
    <row r="448">
      <c r="B448" s="10"/>
      <c r="C448" s="10"/>
      <c r="D448" s="10"/>
    </row>
    <row r="449">
      <c r="B449" s="10"/>
      <c r="C449" s="10"/>
      <c r="D449" s="10"/>
    </row>
    <row r="450">
      <c r="B450" s="10"/>
      <c r="C450" s="10"/>
      <c r="D450" s="10"/>
    </row>
    <row r="451">
      <c r="B451" s="10"/>
      <c r="C451" s="10"/>
      <c r="D451" s="10"/>
    </row>
    <row r="452">
      <c r="B452" s="10"/>
      <c r="C452" s="10"/>
      <c r="D452" s="10"/>
    </row>
    <row r="453">
      <c r="B453" s="10"/>
      <c r="C453" s="10"/>
      <c r="D453" s="10"/>
    </row>
    <row r="454">
      <c r="B454" s="10"/>
      <c r="C454" s="10"/>
      <c r="D454" s="10"/>
    </row>
    <row r="455">
      <c r="B455" s="10"/>
      <c r="C455" s="10"/>
      <c r="D455" s="10"/>
    </row>
    <row r="456">
      <c r="B456" s="10"/>
      <c r="C456" s="10"/>
      <c r="D456" s="10"/>
    </row>
    <row r="457">
      <c r="B457" s="10"/>
      <c r="C457" s="10"/>
      <c r="D457" s="10"/>
    </row>
    <row r="458">
      <c r="B458" s="10"/>
      <c r="C458" s="10"/>
      <c r="D458" s="10"/>
    </row>
    <row r="459">
      <c r="B459" s="10"/>
      <c r="C459" s="10"/>
      <c r="D459" s="10"/>
    </row>
    <row r="460">
      <c r="B460" s="10"/>
      <c r="C460" s="10"/>
      <c r="D460" s="10"/>
    </row>
    <row r="461">
      <c r="B461" s="10"/>
      <c r="C461" s="10"/>
      <c r="D461" s="10"/>
    </row>
    <row r="462">
      <c r="B462" s="10"/>
      <c r="C462" s="10"/>
      <c r="D462" s="10"/>
    </row>
    <row r="463">
      <c r="B463" s="10"/>
      <c r="C463" s="10"/>
      <c r="D463" s="10"/>
    </row>
    <row r="464">
      <c r="B464" s="10"/>
      <c r="C464" s="10"/>
      <c r="D464" s="10"/>
    </row>
    <row r="465">
      <c r="B465" s="10"/>
      <c r="C465" s="10"/>
      <c r="D465" s="10"/>
    </row>
    <row r="466">
      <c r="B466" s="10"/>
      <c r="C466" s="10"/>
      <c r="D466" s="10"/>
    </row>
    <row r="467">
      <c r="B467" s="10"/>
      <c r="C467" s="10"/>
      <c r="D467" s="10"/>
    </row>
    <row r="468">
      <c r="B468" s="10"/>
      <c r="C468" s="10"/>
      <c r="D468" s="10"/>
    </row>
    <row r="469">
      <c r="B469" s="10"/>
      <c r="C469" s="10"/>
      <c r="D469" s="10"/>
    </row>
    <row r="470">
      <c r="B470" s="10"/>
      <c r="C470" s="10"/>
      <c r="D470" s="10"/>
    </row>
    <row r="471">
      <c r="B471" s="10"/>
      <c r="C471" s="10"/>
      <c r="D471" s="10"/>
    </row>
    <row r="472">
      <c r="B472" s="10"/>
      <c r="C472" s="10"/>
      <c r="D472" s="10"/>
    </row>
    <row r="473">
      <c r="B473" s="10"/>
      <c r="C473" s="10"/>
      <c r="D473" s="10"/>
    </row>
    <row r="474">
      <c r="B474" s="10"/>
      <c r="C474" s="10"/>
      <c r="D474" s="10"/>
    </row>
    <row r="475">
      <c r="B475" s="10"/>
      <c r="C475" s="10"/>
      <c r="D475" s="10"/>
    </row>
    <row r="476">
      <c r="B476" s="10"/>
      <c r="C476" s="10"/>
      <c r="D476" s="10"/>
    </row>
    <row r="477">
      <c r="B477" s="10"/>
      <c r="C477" s="10"/>
      <c r="D477" s="10"/>
    </row>
    <row r="478">
      <c r="B478" s="10"/>
      <c r="C478" s="10"/>
      <c r="D478" s="10"/>
    </row>
    <row r="479">
      <c r="B479" s="10"/>
      <c r="C479" s="10"/>
      <c r="D479" s="10"/>
    </row>
    <row r="480">
      <c r="B480" s="10"/>
      <c r="C480" s="10"/>
      <c r="D480" s="10"/>
    </row>
    <row r="481">
      <c r="B481" s="10"/>
      <c r="C481" s="10"/>
      <c r="D481" s="10"/>
    </row>
    <row r="482">
      <c r="B482" s="10"/>
      <c r="C482" s="10"/>
      <c r="D482" s="10"/>
    </row>
    <row r="483">
      <c r="B483" s="10"/>
      <c r="C483" s="10"/>
      <c r="D483" s="10"/>
    </row>
    <row r="484">
      <c r="B484" s="10"/>
      <c r="C484" s="10"/>
      <c r="D484" s="10"/>
    </row>
    <row r="485">
      <c r="B485" s="10"/>
      <c r="C485" s="10"/>
      <c r="D485" s="10"/>
    </row>
    <row r="486">
      <c r="B486" s="10"/>
      <c r="C486" s="10"/>
      <c r="D486" s="10"/>
    </row>
    <row r="487">
      <c r="B487" s="10"/>
      <c r="C487" s="10"/>
      <c r="D487" s="10"/>
    </row>
    <row r="488">
      <c r="B488" s="10"/>
      <c r="C488" s="10"/>
      <c r="D488" s="10"/>
    </row>
    <row r="489">
      <c r="B489" s="10"/>
      <c r="C489" s="10"/>
      <c r="D489" s="10"/>
    </row>
    <row r="490">
      <c r="B490" s="10"/>
      <c r="C490" s="10"/>
      <c r="D490" s="10"/>
    </row>
    <row r="491">
      <c r="B491" s="10"/>
      <c r="C491" s="10"/>
      <c r="D491" s="10"/>
    </row>
    <row r="492">
      <c r="B492" s="10"/>
      <c r="C492" s="10"/>
      <c r="D492" s="10"/>
    </row>
    <row r="493">
      <c r="B493" s="10"/>
      <c r="C493" s="10"/>
      <c r="D493" s="10"/>
    </row>
    <row r="494">
      <c r="B494" s="10"/>
      <c r="C494" s="10"/>
      <c r="D494" s="10"/>
    </row>
    <row r="495">
      <c r="B495" s="10"/>
      <c r="C495" s="10"/>
      <c r="D495" s="10"/>
    </row>
    <row r="496">
      <c r="B496" s="10"/>
      <c r="C496" s="10"/>
      <c r="D496" s="10"/>
    </row>
    <row r="497">
      <c r="B497" s="10"/>
      <c r="C497" s="10"/>
      <c r="D497" s="10"/>
    </row>
    <row r="498">
      <c r="B498" s="10"/>
      <c r="C498" s="10"/>
      <c r="D498" s="10"/>
    </row>
    <row r="499">
      <c r="B499" s="10"/>
      <c r="C499" s="10"/>
      <c r="D499" s="10"/>
    </row>
    <row r="500">
      <c r="B500" s="10"/>
      <c r="C500" s="10"/>
      <c r="D500" s="10"/>
    </row>
    <row r="501">
      <c r="B501" s="10"/>
      <c r="C501" s="10"/>
      <c r="D501" s="10"/>
    </row>
    <row r="502">
      <c r="B502" s="10"/>
      <c r="C502" s="10"/>
      <c r="D502" s="10"/>
    </row>
    <row r="503">
      <c r="B503" s="10"/>
      <c r="C503" s="10"/>
      <c r="D503" s="10"/>
    </row>
    <row r="504">
      <c r="B504" s="10"/>
      <c r="C504" s="10"/>
      <c r="D504" s="10"/>
    </row>
    <row r="505">
      <c r="B505" s="10"/>
      <c r="C505" s="10"/>
      <c r="D505" s="10"/>
    </row>
    <row r="506">
      <c r="B506" s="10"/>
      <c r="C506" s="10"/>
      <c r="D506" s="10"/>
    </row>
    <row r="507">
      <c r="B507" s="10"/>
      <c r="C507" s="10"/>
      <c r="D507" s="10"/>
    </row>
    <row r="508">
      <c r="B508" s="10"/>
      <c r="C508" s="10"/>
      <c r="D508" s="10"/>
    </row>
    <row r="509">
      <c r="B509" s="10"/>
      <c r="C509" s="10"/>
      <c r="D509" s="10"/>
    </row>
    <row r="510">
      <c r="B510" s="10"/>
      <c r="C510" s="10"/>
      <c r="D510" s="10"/>
    </row>
    <row r="511">
      <c r="B511" s="10"/>
      <c r="C511" s="10"/>
      <c r="D511" s="10"/>
    </row>
    <row r="512">
      <c r="B512" s="10"/>
      <c r="C512" s="10"/>
      <c r="D512" s="10"/>
    </row>
    <row r="513">
      <c r="B513" s="10"/>
      <c r="C513" s="10"/>
      <c r="D513" s="10"/>
    </row>
    <row r="514">
      <c r="B514" s="10"/>
      <c r="C514" s="10"/>
      <c r="D514" s="10"/>
    </row>
    <row r="515">
      <c r="B515" s="10"/>
      <c r="C515" s="10"/>
      <c r="D515" s="10"/>
    </row>
    <row r="516">
      <c r="B516" s="10"/>
      <c r="C516" s="10"/>
      <c r="D516" s="10"/>
    </row>
    <row r="517">
      <c r="B517" s="10"/>
      <c r="C517" s="10"/>
      <c r="D517" s="10"/>
    </row>
    <row r="518">
      <c r="B518" s="10"/>
      <c r="C518" s="10"/>
      <c r="D518" s="10"/>
    </row>
    <row r="519">
      <c r="B519" s="10"/>
      <c r="C519" s="10"/>
      <c r="D519" s="10"/>
    </row>
    <row r="520">
      <c r="B520" s="10"/>
      <c r="C520" s="10"/>
      <c r="D520" s="10"/>
    </row>
    <row r="521">
      <c r="B521" s="10"/>
      <c r="C521" s="10"/>
      <c r="D521" s="10"/>
    </row>
    <row r="522">
      <c r="B522" s="10"/>
      <c r="C522" s="10"/>
      <c r="D522" s="10"/>
    </row>
    <row r="523">
      <c r="B523" s="10"/>
      <c r="C523" s="10"/>
      <c r="D523" s="10"/>
    </row>
    <row r="524">
      <c r="B524" s="10"/>
      <c r="C524" s="10"/>
      <c r="D524" s="10"/>
    </row>
    <row r="525">
      <c r="B525" s="10"/>
      <c r="C525" s="10"/>
      <c r="D525" s="10"/>
    </row>
    <row r="526">
      <c r="B526" s="10"/>
      <c r="C526" s="10"/>
      <c r="D526" s="10"/>
    </row>
    <row r="527">
      <c r="B527" s="10"/>
      <c r="C527" s="10"/>
      <c r="D527" s="10"/>
    </row>
    <row r="528">
      <c r="B528" s="10"/>
      <c r="C528" s="10"/>
      <c r="D528" s="10"/>
    </row>
    <row r="529">
      <c r="B529" s="10"/>
      <c r="C529" s="10"/>
      <c r="D529" s="10"/>
    </row>
    <row r="530">
      <c r="B530" s="10"/>
      <c r="C530" s="10"/>
      <c r="D530" s="10"/>
    </row>
    <row r="531">
      <c r="B531" s="10"/>
      <c r="C531" s="10"/>
      <c r="D531" s="10"/>
    </row>
    <row r="532">
      <c r="B532" s="10"/>
      <c r="C532" s="10"/>
      <c r="D532" s="10"/>
    </row>
    <row r="533">
      <c r="B533" s="10"/>
      <c r="C533" s="10"/>
      <c r="D533" s="10"/>
    </row>
    <row r="534">
      <c r="B534" s="10"/>
      <c r="C534" s="10"/>
      <c r="D534" s="10"/>
    </row>
    <row r="535">
      <c r="B535" s="10"/>
      <c r="C535" s="10"/>
      <c r="D535" s="10"/>
    </row>
    <row r="536">
      <c r="B536" s="10"/>
      <c r="C536" s="10"/>
      <c r="D536" s="10"/>
    </row>
    <row r="537">
      <c r="B537" s="10"/>
      <c r="C537" s="10"/>
      <c r="D537" s="10"/>
    </row>
    <row r="538">
      <c r="B538" s="10"/>
      <c r="C538" s="10"/>
      <c r="D538" s="10"/>
    </row>
    <row r="539">
      <c r="B539" s="10"/>
      <c r="C539" s="10"/>
      <c r="D539" s="10"/>
    </row>
    <row r="540">
      <c r="B540" s="10"/>
      <c r="C540" s="10"/>
      <c r="D540" s="10"/>
    </row>
    <row r="541">
      <c r="B541" s="10"/>
      <c r="C541" s="10"/>
      <c r="D541" s="10"/>
    </row>
    <row r="542">
      <c r="B542" s="10"/>
      <c r="C542" s="10"/>
      <c r="D542" s="10"/>
    </row>
    <row r="543">
      <c r="B543" s="10"/>
      <c r="C543" s="10"/>
      <c r="D543" s="10"/>
    </row>
    <row r="544">
      <c r="B544" s="10"/>
      <c r="C544" s="10"/>
      <c r="D544" s="10"/>
    </row>
    <row r="545">
      <c r="B545" s="10"/>
      <c r="C545" s="10"/>
      <c r="D545" s="10"/>
    </row>
    <row r="546">
      <c r="B546" s="10"/>
      <c r="C546" s="10"/>
      <c r="D546" s="10"/>
    </row>
    <row r="547">
      <c r="B547" s="10"/>
      <c r="C547" s="10"/>
      <c r="D547" s="10"/>
    </row>
    <row r="548">
      <c r="B548" s="10"/>
      <c r="C548" s="10"/>
      <c r="D548" s="10"/>
    </row>
    <row r="549">
      <c r="B549" s="10"/>
      <c r="C549" s="10"/>
      <c r="D549" s="10"/>
    </row>
    <row r="550">
      <c r="B550" s="10"/>
      <c r="C550" s="10"/>
      <c r="D550" s="10"/>
    </row>
    <row r="551">
      <c r="B551" s="10"/>
      <c r="C551" s="10"/>
      <c r="D551" s="10"/>
    </row>
    <row r="552">
      <c r="B552" s="10"/>
      <c r="C552" s="10"/>
      <c r="D552" s="10"/>
    </row>
    <row r="553">
      <c r="B553" s="10"/>
      <c r="C553" s="10"/>
      <c r="D553" s="10"/>
    </row>
    <row r="554">
      <c r="B554" s="10"/>
      <c r="C554" s="10"/>
      <c r="D554" s="10"/>
    </row>
    <row r="555">
      <c r="B555" s="10"/>
      <c r="C555" s="10"/>
      <c r="D555" s="10"/>
    </row>
    <row r="556">
      <c r="B556" s="10"/>
      <c r="C556" s="10"/>
      <c r="D556" s="10"/>
    </row>
    <row r="557">
      <c r="B557" s="10"/>
      <c r="C557" s="10"/>
      <c r="D557" s="10"/>
    </row>
    <row r="558">
      <c r="B558" s="10"/>
      <c r="C558" s="10"/>
      <c r="D558" s="10"/>
    </row>
    <row r="559">
      <c r="B559" s="10"/>
      <c r="C559" s="10"/>
      <c r="D559" s="10"/>
    </row>
    <row r="560">
      <c r="B560" s="10"/>
      <c r="C560" s="10"/>
      <c r="D560" s="10"/>
    </row>
    <row r="561">
      <c r="B561" s="10"/>
      <c r="C561" s="10"/>
      <c r="D561" s="10"/>
    </row>
    <row r="562">
      <c r="B562" s="10"/>
      <c r="C562" s="10"/>
      <c r="D562" s="10"/>
    </row>
    <row r="563">
      <c r="B563" s="10"/>
      <c r="C563" s="10"/>
      <c r="D563" s="10"/>
    </row>
    <row r="564">
      <c r="B564" s="10"/>
      <c r="C564" s="10"/>
      <c r="D564" s="10"/>
    </row>
    <row r="565">
      <c r="B565" s="10"/>
      <c r="C565" s="10"/>
      <c r="D565" s="10"/>
    </row>
    <row r="566">
      <c r="B566" s="10"/>
      <c r="C566" s="10"/>
      <c r="D566" s="10"/>
    </row>
    <row r="567">
      <c r="B567" s="10"/>
      <c r="C567" s="10"/>
      <c r="D567" s="10"/>
    </row>
    <row r="568">
      <c r="B568" s="10"/>
      <c r="C568" s="10"/>
      <c r="D568" s="10"/>
    </row>
    <row r="569">
      <c r="B569" s="10"/>
      <c r="C569" s="10"/>
      <c r="D569" s="10"/>
    </row>
    <row r="570">
      <c r="B570" s="10"/>
      <c r="C570" s="10"/>
      <c r="D570" s="10"/>
    </row>
    <row r="571">
      <c r="B571" s="10"/>
      <c r="C571" s="10"/>
      <c r="D571" s="10"/>
    </row>
    <row r="572">
      <c r="B572" s="10"/>
      <c r="C572" s="10"/>
      <c r="D572" s="10"/>
    </row>
    <row r="573">
      <c r="B573" s="10"/>
      <c r="C573" s="10"/>
      <c r="D573" s="10"/>
    </row>
    <row r="574">
      <c r="B574" s="10"/>
      <c r="C574" s="10"/>
      <c r="D574" s="10"/>
    </row>
    <row r="575">
      <c r="B575" s="10"/>
      <c r="C575" s="10"/>
      <c r="D575" s="10"/>
    </row>
    <row r="576">
      <c r="B576" s="10"/>
      <c r="C576" s="10"/>
      <c r="D576" s="10"/>
    </row>
    <row r="577">
      <c r="B577" s="10"/>
      <c r="C577" s="10"/>
      <c r="D577" s="10"/>
    </row>
    <row r="578">
      <c r="B578" s="10"/>
      <c r="C578" s="10"/>
      <c r="D578" s="10"/>
    </row>
    <row r="579">
      <c r="B579" s="10"/>
      <c r="C579" s="10"/>
      <c r="D579" s="10"/>
    </row>
    <row r="580">
      <c r="B580" s="10"/>
      <c r="C580" s="10"/>
      <c r="D580" s="10"/>
    </row>
    <row r="581">
      <c r="B581" s="10"/>
      <c r="C581" s="10"/>
      <c r="D581" s="10"/>
    </row>
    <row r="582">
      <c r="B582" s="10"/>
      <c r="C582" s="10"/>
      <c r="D582" s="10"/>
    </row>
    <row r="583">
      <c r="B583" s="10"/>
      <c r="C583" s="10"/>
      <c r="D583" s="10"/>
    </row>
    <row r="584">
      <c r="B584" s="10"/>
      <c r="C584" s="10"/>
      <c r="D584" s="10"/>
    </row>
    <row r="585">
      <c r="B585" s="10"/>
      <c r="C585" s="10"/>
      <c r="D585" s="10"/>
    </row>
    <row r="586">
      <c r="B586" s="10"/>
      <c r="C586" s="10"/>
      <c r="D586" s="10"/>
    </row>
    <row r="587">
      <c r="B587" s="10"/>
      <c r="C587" s="10"/>
      <c r="D587" s="10"/>
    </row>
    <row r="588">
      <c r="B588" s="10"/>
      <c r="C588" s="10"/>
      <c r="D588" s="10"/>
    </row>
    <row r="589">
      <c r="B589" s="10"/>
      <c r="C589" s="10"/>
      <c r="D589" s="10"/>
    </row>
    <row r="590">
      <c r="B590" s="10"/>
      <c r="C590" s="10"/>
      <c r="D590" s="10"/>
    </row>
    <row r="591">
      <c r="B591" s="10"/>
      <c r="C591" s="10"/>
      <c r="D591" s="10"/>
    </row>
    <row r="592">
      <c r="B592" s="10"/>
      <c r="C592" s="10"/>
      <c r="D592" s="10"/>
    </row>
    <row r="593">
      <c r="B593" s="10"/>
      <c r="C593" s="10"/>
      <c r="D593" s="10"/>
    </row>
    <row r="594">
      <c r="B594" s="10"/>
      <c r="C594" s="10"/>
      <c r="D594" s="10"/>
    </row>
    <row r="595">
      <c r="B595" s="10"/>
      <c r="C595" s="10"/>
      <c r="D595" s="10"/>
    </row>
    <row r="596">
      <c r="B596" s="10"/>
      <c r="C596" s="10"/>
      <c r="D596" s="10"/>
    </row>
    <row r="597">
      <c r="B597" s="10"/>
      <c r="C597" s="10"/>
      <c r="D597" s="10"/>
    </row>
    <row r="598">
      <c r="B598" s="10"/>
      <c r="C598" s="10"/>
      <c r="D598" s="10"/>
    </row>
    <row r="599">
      <c r="B599" s="10"/>
      <c r="C599" s="10"/>
      <c r="D599" s="10"/>
    </row>
    <row r="600">
      <c r="B600" s="10"/>
      <c r="C600" s="10"/>
      <c r="D600" s="10"/>
    </row>
    <row r="601">
      <c r="B601" s="10"/>
      <c r="C601" s="10"/>
      <c r="D601" s="10"/>
    </row>
    <row r="602">
      <c r="B602" s="10"/>
      <c r="C602" s="10"/>
      <c r="D602" s="10"/>
    </row>
    <row r="603">
      <c r="B603" s="10"/>
      <c r="C603" s="10"/>
      <c r="D603" s="10"/>
    </row>
    <row r="604">
      <c r="B604" s="10"/>
      <c r="C604" s="10"/>
      <c r="D604" s="10"/>
    </row>
    <row r="605">
      <c r="B605" s="10"/>
      <c r="C605" s="10"/>
      <c r="D605" s="10"/>
    </row>
    <row r="606">
      <c r="B606" s="10"/>
      <c r="C606" s="10"/>
      <c r="D606" s="10"/>
    </row>
    <row r="607">
      <c r="B607" s="10"/>
      <c r="C607" s="10"/>
      <c r="D607" s="10"/>
    </row>
    <row r="608">
      <c r="B608" s="10"/>
      <c r="C608" s="10"/>
      <c r="D608" s="10"/>
    </row>
    <row r="609">
      <c r="B609" s="10"/>
      <c r="C609" s="10"/>
      <c r="D609" s="10"/>
    </row>
    <row r="610">
      <c r="B610" s="10"/>
      <c r="C610" s="10"/>
      <c r="D610" s="10"/>
    </row>
    <row r="611">
      <c r="B611" s="10"/>
      <c r="C611" s="10"/>
      <c r="D611" s="10"/>
    </row>
    <row r="612">
      <c r="B612" s="10"/>
      <c r="C612" s="10"/>
      <c r="D612" s="10"/>
    </row>
    <row r="613">
      <c r="B613" s="10"/>
      <c r="C613" s="10"/>
      <c r="D613" s="10"/>
    </row>
    <row r="614">
      <c r="B614" s="10"/>
      <c r="C614" s="10"/>
      <c r="D614" s="10"/>
    </row>
    <row r="615">
      <c r="B615" s="10"/>
      <c r="C615" s="10"/>
      <c r="D615" s="10"/>
    </row>
    <row r="616">
      <c r="B616" s="10"/>
      <c r="C616" s="10"/>
      <c r="D616" s="10"/>
    </row>
    <row r="617">
      <c r="B617" s="10"/>
      <c r="C617" s="10"/>
      <c r="D617" s="10"/>
    </row>
    <row r="618">
      <c r="B618" s="10"/>
      <c r="C618" s="10"/>
      <c r="D618" s="10"/>
    </row>
    <row r="619">
      <c r="B619" s="10"/>
      <c r="C619" s="10"/>
      <c r="D619" s="10"/>
    </row>
    <row r="620">
      <c r="B620" s="10"/>
      <c r="C620" s="10"/>
      <c r="D620" s="10"/>
    </row>
    <row r="621">
      <c r="B621" s="10"/>
      <c r="C621" s="10"/>
      <c r="D621" s="10"/>
    </row>
    <row r="622">
      <c r="B622" s="10"/>
      <c r="C622" s="10"/>
      <c r="D622" s="10"/>
    </row>
    <row r="623">
      <c r="B623" s="10"/>
      <c r="C623" s="10"/>
      <c r="D623" s="10"/>
    </row>
    <row r="624">
      <c r="B624" s="10"/>
      <c r="C624" s="10"/>
      <c r="D624" s="10"/>
    </row>
    <row r="625">
      <c r="B625" s="10"/>
      <c r="C625" s="10"/>
      <c r="D625" s="10"/>
    </row>
    <row r="626">
      <c r="B626" s="10"/>
      <c r="C626" s="10"/>
      <c r="D626" s="10"/>
    </row>
    <row r="627">
      <c r="B627" s="10"/>
      <c r="C627" s="10"/>
      <c r="D627" s="10"/>
    </row>
    <row r="628">
      <c r="B628" s="10"/>
      <c r="C628" s="10"/>
      <c r="D628" s="10"/>
    </row>
    <row r="629">
      <c r="B629" s="10"/>
      <c r="C629" s="10"/>
      <c r="D629" s="10"/>
    </row>
    <row r="630">
      <c r="B630" s="10"/>
      <c r="C630" s="10"/>
      <c r="D630" s="10"/>
    </row>
    <row r="631">
      <c r="B631" s="10"/>
      <c r="C631" s="10"/>
      <c r="D631" s="10"/>
    </row>
    <row r="632">
      <c r="B632" s="10"/>
      <c r="C632" s="10"/>
      <c r="D632" s="10"/>
    </row>
    <row r="633">
      <c r="B633" s="10"/>
      <c r="C633" s="10"/>
      <c r="D633" s="10"/>
    </row>
    <row r="634">
      <c r="B634" s="10"/>
      <c r="C634" s="10"/>
      <c r="D634" s="10"/>
    </row>
    <row r="635">
      <c r="B635" s="10"/>
      <c r="C635" s="10"/>
      <c r="D635" s="10"/>
    </row>
    <row r="636">
      <c r="B636" s="10"/>
      <c r="C636" s="10"/>
      <c r="D636" s="10"/>
    </row>
    <row r="637">
      <c r="B637" s="10"/>
      <c r="C637" s="10"/>
      <c r="D637" s="10"/>
    </row>
    <row r="638">
      <c r="B638" s="10"/>
      <c r="C638" s="10"/>
      <c r="D638" s="10"/>
    </row>
    <row r="639">
      <c r="B639" s="10"/>
      <c r="C639" s="10"/>
      <c r="D639" s="10"/>
    </row>
    <row r="640">
      <c r="B640" s="10"/>
      <c r="C640" s="10"/>
      <c r="D640" s="10"/>
    </row>
    <row r="641">
      <c r="B641" s="10"/>
      <c r="C641" s="10"/>
      <c r="D641" s="10"/>
    </row>
    <row r="642">
      <c r="B642" s="10"/>
      <c r="C642" s="10"/>
      <c r="D642" s="10"/>
    </row>
    <row r="643">
      <c r="B643" s="10"/>
      <c r="C643" s="10"/>
      <c r="D643" s="10"/>
    </row>
    <row r="644">
      <c r="B644" s="10"/>
      <c r="C644" s="10"/>
      <c r="D644" s="10"/>
    </row>
    <row r="645">
      <c r="B645" s="10"/>
      <c r="C645" s="10"/>
      <c r="D645" s="10"/>
    </row>
    <row r="646">
      <c r="B646" s="10"/>
      <c r="C646" s="10"/>
      <c r="D646" s="10"/>
    </row>
    <row r="647">
      <c r="B647" s="10"/>
      <c r="C647" s="10"/>
      <c r="D647" s="10"/>
    </row>
    <row r="648">
      <c r="B648" s="10"/>
      <c r="C648" s="10"/>
      <c r="D648" s="10"/>
    </row>
    <row r="649">
      <c r="B649" s="10"/>
      <c r="C649" s="10"/>
      <c r="D649" s="10"/>
    </row>
    <row r="650">
      <c r="B650" s="10"/>
      <c r="C650" s="10"/>
      <c r="D650" s="10"/>
    </row>
    <row r="651">
      <c r="B651" s="10"/>
      <c r="C651" s="10"/>
      <c r="D651" s="10"/>
    </row>
    <row r="652">
      <c r="B652" s="10"/>
      <c r="C652" s="10"/>
      <c r="D652" s="10"/>
    </row>
    <row r="653">
      <c r="B653" s="10"/>
      <c r="C653" s="10"/>
      <c r="D653" s="10"/>
    </row>
    <row r="654">
      <c r="B654" s="10"/>
      <c r="C654" s="10"/>
      <c r="D654" s="10"/>
    </row>
    <row r="655">
      <c r="B655" s="10"/>
      <c r="C655" s="10"/>
      <c r="D655" s="10"/>
    </row>
    <row r="656">
      <c r="B656" s="10"/>
      <c r="C656" s="10"/>
      <c r="D656" s="10"/>
    </row>
    <row r="657">
      <c r="B657" s="10"/>
      <c r="C657" s="10"/>
      <c r="D657" s="10"/>
    </row>
    <row r="658">
      <c r="B658" s="10"/>
      <c r="C658" s="10"/>
      <c r="D658" s="10"/>
    </row>
    <row r="659">
      <c r="B659" s="10"/>
      <c r="C659" s="10"/>
      <c r="D659" s="10"/>
    </row>
    <row r="660">
      <c r="B660" s="10"/>
      <c r="C660" s="10"/>
      <c r="D660" s="10"/>
    </row>
    <row r="661">
      <c r="B661" s="10"/>
      <c r="C661" s="10"/>
      <c r="D661" s="10"/>
    </row>
    <row r="662">
      <c r="B662" s="10"/>
      <c r="C662" s="10"/>
      <c r="D662" s="10"/>
    </row>
    <row r="663">
      <c r="B663" s="10"/>
      <c r="C663" s="10"/>
      <c r="D663" s="10"/>
    </row>
    <row r="664">
      <c r="B664" s="10"/>
      <c r="C664" s="10"/>
      <c r="D664" s="10"/>
    </row>
    <row r="665">
      <c r="B665" s="10"/>
      <c r="C665" s="10"/>
      <c r="D665" s="10"/>
    </row>
    <row r="666">
      <c r="B666" s="10"/>
      <c r="C666" s="10"/>
      <c r="D666" s="10"/>
    </row>
    <row r="667">
      <c r="B667" s="10"/>
      <c r="C667" s="10"/>
      <c r="D667" s="10"/>
    </row>
    <row r="668">
      <c r="B668" s="10"/>
      <c r="C668" s="10"/>
      <c r="D668" s="10"/>
    </row>
    <row r="669">
      <c r="B669" s="10"/>
      <c r="C669" s="10"/>
      <c r="D669" s="10"/>
    </row>
    <row r="670">
      <c r="B670" s="10"/>
      <c r="C670" s="10"/>
      <c r="D670" s="10"/>
    </row>
    <row r="671">
      <c r="B671" s="10"/>
      <c r="C671" s="10"/>
      <c r="D671" s="10"/>
    </row>
    <row r="672">
      <c r="B672" s="10"/>
      <c r="C672" s="10"/>
      <c r="D672" s="10"/>
    </row>
    <row r="673">
      <c r="B673" s="10"/>
      <c r="C673" s="10"/>
      <c r="D673" s="10"/>
    </row>
    <row r="674">
      <c r="B674" s="10"/>
      <c r="C674" s="10"/>
      <c r="D674" s="10"/>
    </row>
    <row r="675">
      <c r="B675" s="10"/>
      <c r="C675" s="10"/>
      <c r="D675" s="10"/>
    </row>
    <row r="676">
      <c r="B676" s="10"/>
      <c r="C676" s="10"/>
      <c r="D676" s="10"/>
    </row>
    <row r="677">
      <c r="B677" s="10"/>
      <c r="C677" s="10"/>
      <c r="D677" s="10"/>
    </row>
    <row r="678">
      <c r="B678" s="10"/>
      <c r="C678" s="10"/>
      <c r="D678" s="10"/>
    </row>
    <row r="679">
      <c r="B679" s="10"/>
      <c r="C679" s="10"/>
      <c r="D679" s="10"/>
    </row>
    <row r="680">
      <c r="B680" s="10"/>
      <c r="C680" s="10"/>
      <c r="D680" s="10"/>
    </row>
    <row r="681">
      <c r="B681" s="10"/>
      <c r="C681" s="10"/>
      <c r="D681" s="10"/>
    </row>
    <row r="682">
      <c r="B682" s="10"/>
      <c r="C682" s="10"/>
      <c r="D682" s="10"/>
    </row>
    <row r="683">
      <c r="B683" s="10"/>
      <c r="C683" s="10"/>
      <c r="D683" s="10"/>
    </row>
    <row r="684">
      <c r="B684" s="10"/>
      <c r="C684" s="10"/>
      <c r="D684" s="10"/>
    </row>
    <row r="685">
      <c r="B685" s="10"/>
      <c r="C685" s="10"/>
      <c r="D685" s="10"/>
    </row>
    <row r="686">
      <c r="B686" s="10"/>
      <c r="C686" s="10"/>
      <c r="D686" s="10"/>
    </row>
    <row r="687">
      <c r="B687" s="10"/>
      <c r="C687" s="10"/>
      <c r="D687" s="10"/>
    </row>
    <row r="688">
      <c r="B688" s="10"/>
      <c r="C688" s="10"/>
      <c r="D688" s="10"/>
    </row>
    <row r="689">
      <c r="B689" s="10"/>
      <c r="C689" s="10"/>
      <c r="D689" s="10"/>
    </row>
    <row r="690">
      <c r="B690" s="10"/>
      <c r="C690" s="10"/>
      <c r="D690" s="10"/>
    </row>
    <row r="691">
      <c r="B691" s="10"/>
      <c r="C691" s="10"/>
      <c r="D691" s="10"/>
    </row>
    <row r="692">
      <c r="B692" s="10"/>
      <c r="C692" s="10"/>
      <c r="D692" s="10"/>
    </row>
    <row r="693">
      <c r="B693" s="10"/>
      <c r="C693" s="10"/>
      <c r="D693" s="10"/>
    </row>
    <row r="694">
      <c r="B694" s="10"/>
      <c r="C694" s="10"/>
      <c r="D694" s="10"/>
    </row>
    <row r="695">
      <c r="B695" s="10"/>
      <c r="C695" s="10"/>
      <c r="D695" s="10"/>
    </row>
    <row r="696">
      <c r="B696" s="10"/>
      <c r="C696" s="10"/>
      <c r="D696" s="10"/>
    </row>
    <row r="697">
      <c r="B697" s="10"/>
      <c r="C697" s="10"/>
      <c r="D697" s="10"/>
    </row>
    <row r="698">
      <c r="B698" s="10"/>
      <c r="C698" s="10"/>
      <c r="D698" s="10"/>
    </row>
    <row r="699">
      <c r="B699" s="10"/>
      <c r="C699" s="10"/>
      <c r="D699" s="10"/>
    </row>
    <row r="700">
      <c r="B700" s="10"/>
      <c r="C700" s="10"/>
      <c r="D700" s="10"/>
    </row>
    <row r="701">
      <c r="B701" s="10"/>
      <c r="C701" s="10"/>
      <c r="D701" s="10"/>
    </row>
    <row r="702">
      <c r="B702" s="10"/>
      <c r="C702" s="10"/>
      <c r="D702" s="10"/>
    </row>
    <row r="703">
      <c r="B703" s="10"/>
      <c r="C703" s="10"/>
      <c r="D703" s="10"/>
    </row>
    <row r="704">
      <c r="B704" s="10"/>
      <c r="C704" s="10"/>
      <c r="D704" s="10"/>
    </row>
    <row r="705">
      <c r="B705" s="10"/>
      <c r="C705" s="10"/>
      <c r="D705" s="10"/>
    </row>
    <row r="706">
      <c r="B706" s="10"/>
      <c r="C706" s="10"/>
      <c r="D706" s="10"/>
    </row>
    <row r="707">
      <c r="B707" s="10"/>
      <c r="C707" s="10"/>
      <c r="D707" s="10"/>
    </row>
    <row r="708">
      <c r="B708" s="10"/>
      <c r="C708" s="10"/>
      <c r="D708" s="10"/>
    </row>
    <row r="709">
      <c r="B709" s="10"/>
      <c r="C709" s="10"/>
      <c r="D709" s="10"/>
    </row>
    <row r="710">
      <c r="B710" s="10"/>
      <c r="C710" s="10"/>
      <c r="D710" s="10"/>
    </row>
    <row r="711">
      <c r="B711" s="10"/>
      <c r="C711" s="10"/>
      <c r="D711" s="10"/>
    </row>
    <row r="712">
      <c r="B712" s="10"/>
      <c r="C712" s="10"/>
      <c r="D712" s="10"/>
    </row>
    <row r="713">
      <c r="B713" s="10"/>
      <c r="C713" s="10"/>
      <c r="D713" s="10"/>
    </row>
    <row r="714">
      <c r="B714" s="10"/>
      <c r="C714" s="10"/>
      <c r="D714" s="10"/>
    </row>
    <row r="715">
      <c r="B715" s="10"/>
      <c r="C715" s="10"/>
      <c r="D715" s="10"/>
    </row>
    <row r="716">
      <c r="B716" s="10"/>
      <c r="C716" s="10"/>
      <c r="D716" s="10"/>
    </row>
    <row r="717">
      <c r="B717" s="10"/>
      <c r="C717" s="10"/>
      <c r="D717" s="10"/>
    </row>
    <row r="718">
      <c r="B718" s="10"/>
      <c r="C718" s="10"/>
      <c r="D718" s="10"/>
    </row>
    <row r="719">
      <c r="B719" s="10"/>
      <c r="C719" s="10"/>
      <c r="D719" s="10"/>
    </row>
    <row r="720">
      <c r="B720" s="10"/>
      <c r="C720" s="10"/>
      <c r="D720" s="10"/>
    </row>
    <row r="721">
      <c r="B721" s="10"/>
      <c r="C721" s="10"/>
      <c r="D721" s="10"/>
    </row>
    <row r="722">
      <c r="B722" s="10"/>
      <c r="C722" s="10"/>
      <c r="D722" s="10"/>
    </row>
    <row r="723">
      <c r="B723" s="10"/>
      <c r="C723" s="10"/>
      <c r="D723" s="10"/>
    </row>
    <row r="724">
      <c r="B724" s="10"/>
      <c r="C724" s="10"/>
      <c r="D724" s="10"/>
    </row>
    <row r="725">
      <c r="B725" s="10"/>
      <c r="C725" s="10"/>
      <c r="D725" s="10"/>
    </row>
    <row r="726">
      <c r="B726" s="10"/>
      <c r="C726" s="10"/>
      <c r="D726" s="10"/>
    </row>
    <row r="727">
      <c r="B727" s="10"/>
      <c r="C727" s="10"/>
      <c r="D727" s="10"/>
    </row>
    <row r="728">
      <c r="B728" s="10"/>
      <c r="C728" s="10"/>
      <c r="D728" s="10"/>
    </row>
    <row r="729">
      <c r="B729" s="10"/>
      <c r="C729" s="10"/>
      <c r="D729" s="10"/>
    </row>
    <row r="730">
      <c r="B730" s="10"/>
      <c r="C730" s="10"/>
      <c r="D730" s="10"/>
    </row>
    <row r="731">
      <c r="B731" s="10"/>
      <c r="C731" s="10"/>
      <c r="D731" s="10"/>
    </row>
    <row r="732">
      <c r="B732" s="10"/>
      <c r="C732" s="10"/>
      <c r="D732" s="10"/>
    </row>
    <row r="733">
      <c r="B733" s="10"/>
      <c r="C733" s="10"/>
      <c r="D733" s="10"/>
    </row>
    <row r="734">
      <c r="B734" s="10"/>
      <c r="C734" s="10"/>
      <c r="D734" s="10"/>
    </row>
    <row r="735">
      <c r="B735" s="10"/>
      <c r="C735" s="10"/>
      <c r="D735" s="10"/>
    </row>
    <row r="736">
      <c r="B736" s="10"/>
      <c r="C736" s="10"/>
      <c r="D736" s="10"/>
    </row>
    <row r="737">
      <c r="B737" s="10"/>
      <c r="C737" s="10"/>
      <c r="D737" s="10"/>
    </row>
    <row r="738">
      <c r="B738" s="10"/>
      <c r="C738" s="10"/>
      <c r="D738" s="10"/>
    </row>
    <row r="739">
      <c r="B739" s="10"/>
      <c r="C739" s="10"/>
      <c r="D739" s="10"/>
    </row>
    <row r="740">
      <c r="B740" s="10"/>
      <c r="C740" s="10"/>
      <c r="D740" s="10"/>
    </row>
    <row r="741">
      <c r="B741" s="10"/>
      <c r="C741" s="10"/>
      <c r="D741" s="10"/>
    </row>
    <row r="742">
      <c r="B742" s="10"/>
      <c r="C742" s="10"/>
      <c r="D742" s="10"/>
    </row>
    <row r="743">
      <c r="B743" s="10"/>
      <c r="C743" s="10"/>
      <c r="D743" s="10"/>
    </row>
    <row r="744">
      <c r="B744" s="10"/>
      <c r="C744" s="10"/>
      <c r="D744" s="10"/>
    </row>
    <row r="745">
      <c r="B745" s="10"/>
      <c r="C745" s="10"/>
      <c r="D745" s="10"/>
    </row>
    <row r="746">
      <c r="B746" s="10"/>
      <c r="C746" s="10"/>
      <c r="D746" s="10"/>
    </row>
    <row r="747">
      <c r="B747" s="10"/>
      <c r="C747" s="10"/>
      <c r="D747" s="10"/>
    </row>
    <row r="748">
      <c r="B748" s="10"/>
      <c r="C748" s="10"/>
      <c r="D748" s="10"/>
    </row>
    <row r="749">
      <c r="B749" s="10"/>
      <c r="C749" s="10"/>
      <c r="D749" s="10"/>
    </row>
    <row r="750">
      <c r="B750" s="10"/>
      <c r="C750" s="10"/>
      <c r="D750" s="10"/>
    </row>
    <row r="751">
      <c r="B751" s="10"/>
      <c r="C751" s="10"/>
      <c r="D751" s="10"/>
    </row>
    <row r="752">
      <c r="B752" s="10"/>
      <c r="C752" s="10"/>
      <c r="D752" s="10"/>
    </row>
    <row r="753">
      <c r="B753" s="10"/>
      <c r="C753" s="10"/>
      <c r="D753" s="10"/>
    </row>
    <row r="754">
      <c r="B754" s="10"/>
      <c r="C754" s="10"/>
      <c r="D754" s="10"/>
    </row>
    <row r="755">
      <c r="B755" s="10"/>
      <c r="C755" s="10"/>
      <c r="D755" s="10"/>
    </row>
    <row r="756">
      <c r="B756" s="10"/>
      <c r="C756" s="10"/>
      <c r="D756" s="10"/>
    </row>
    <row r="757">
      <c r="B757" s="10"/>
      <c r="C757" s="10"/>
      <c r="D757" s="10"/>
    </row>
    <row r="758">
      <c r="B758" s="10"/>
      <c r="C758" s="10"/>
      <c r="D758" s="10"/>
    </row>
    <row r="759">
      <c r="B759" s="10"/>
      <c r="C759" s="10"/>
      <c r="D759" s="10"/>
    </row>
    <row r="760">
      <c r="B760" s="10"/>
      <c r="C760" s="10"/>
      <c r="D760" s="10"/>
    </row>
    <row r="761">
      <c r="B761" s="10"/>
      <c r="C761" s="10"/>
      <c r="D761" s="10"/>
    </row>
    <row r="762">
      <c r="B762" s="10"/>
      <c r="C762" s="10"/>
      <c r="D762" s="10"/>
    </row>
    <row r="763">
      <c r="B763" s="10"/>
      <c r="C763" s="10"/>
      <c r="D763" s="10"/>
    </row>
    <row r="764">
      <c r="B764" s="10"/>
      <c r="C764" s="10"/>
      <c r="D764" s="10"/>
    </row>
    <row r="765">
      <c r="B765" s="10"/>
      <c r="C765" s="10"/>
      <c r="D765" s="10"/>
    </row>
    <row r="766">
      <c r="B766" s="10"/>
      <c r="C766" s="10"/>
      <c r="D766" s="10"/>
    </row>
    <row r="767">
      <c r="B767" s="10"/>
      <c r="C767" s="10"/>
      <c r="D767" s="10"/>
    </row>
    <row r="768">
      <c r="B768" s="10"/>
      <c r="C768" s="10"/>
      <c r="D768" s="10"/>
    </row>
    <row r="769">
      <c r="B769" s="10"/>
      <c r="C769" s="10"/>
      <c r="D769" s="10"/>
    </row>
    <row r="770">
      <c r="B770" s="10"/>
      <c r="C770" s="10"/>
      <c r="D770" s="10"/>
    </row>
    <row r="771">
      <c r="B771" s="10"/>
      <c r="C771" s="10"/>
      <c r="D771" s="10"/>
    </row>
    <row r="772">
      <c r="B772" s="10"/>
      <c r="C772" s="10"/>
      <c r="D772" s="10"/>
    </row>
    <row r="773">
      <c r="B773" s="10"/>
      <c r="C773" s="10"/>
      <c r="D773" s="10"/>
    </row>
    <row r="774">
      <c r="B774" s="10"/>
      <c r="C774" s="10"/>
      <c r="D774" s="10"/>
    </row>
    <row r="775">
      <c r="B775" s="10"/>
      <c r="C775" s="10"/>
      <c r="D775" s="10"/>
    </row>
    <row r="776">
      <c r="B776" s="10"/>
      <c r="C776" s="10"/>
      <c r="D776" s="10"/>
    </row>
    <row r="777">
      <c r="B777" s="10"/>
      <c r="C777" s="10"/>
      <c r="D777" s="10"/>
    </row>
    <row r="778">
      <c r="B778" s="10"/>
      <c r="C778" s="10"/>
      <c r="D778" s="10"/>
    </row>
    <row r="779">
      <c r="B779" s="10"/>
      <c r="C779" s="10"/>
      <c r="D779" s="10"/>
    </row>
    <row r="780">
      <c r="B780" s="10"/>
      <c r="C780" s="10"/>
      <c r="D780" s="10"/>
    </row>
    <row r="781">
      <c r="B781" s="10"/>
      <c r="C781" s="10"/>
      <c r="D781" s="10"/>
    </row>
    <row r="782">
      <c r="B782" s="10"/>
      <c r="C782" s="10"/>
      <c r="D782" s="10"/>
    </row>
    <row r="783">
      <c r="B783" s="10"/>
      <c r="C783" s="10"/>
      <c r="D783" s="10"/>
    </row>
    <row r="784">
      <c r="B784" s="10"/>
      <c r="C784" s="10"/>
      <c r="D784" s="10"/>
    </row>
    <row r="785">
      <c r="B785" s="10"/>
      <c r="C785" s="10"/>
      <c r="D785" s="10"/>
    </row>
    <row r="786">
      <c r="B786" s="10"/>
      <c r="C786" s="10"/>
      <c r="D786" s="10"/>
    </row>
    <row r="787">
      <c r="B787" s="10"/>
      <c r="C787" s="10"/>
      <c r="D787" s="10"/>
    </row>
    <row r="788">
      <c r="B788" s="10"/>
      <c r="C788" s="10"/>
      <c r="D788" s="10"/>
    </row>
    <row r="789">
      <c r="B789" s="10"/>
      <c r="C789" s="10"/>
      <c r="D789" s="10"/>
    </row>
    <row r="790">
      <c r="B790" s="10"/>
      <c r="C790" s="10"/>
      <c r="D790" s="10"/>
    </row>
    <row r="791">
      <c r="B791" s="10"/>
      <c r="C791" s="10"/>
      <c r="D791" s="10"/>
    </row>
    <row r="792">
      <c r="B792" s="10"/>
      <c r="C792" s="10"/>
      <c r="D792" s="10"/>
    </row>
    <row r="793">
      <c r="B793" s="10"/>
      <c r="C793" s="10"/>
      <c r="D793" s="10"/>
    </row>
    <row r="794">
      <c r="B794" s="10"/>
      <c r="C794" s="10"/>
      <c r="D794" s="10"/>
    </row>
    <row r="795">
      <c r="B795" s="10"/>
      <c r="C795" s="10"/>
      <c r="D795" s="10"/>
    </row>
    <row r="796">
      <c r="B796" s="10"/>
      <c r="C796" s="10"/>
      <c r="D796" s="10"/>
    </row>
    <row r="797">
      <c r="B797" s="10"/>
      <c r="C797" s="10"/>
      <c r="D797" s="10"/>
    </row>
    <row r="798">
      <c r="B798" s="10"/>
      <c r="C798" s="10"/>
      <c r="D798" s="10"/>
    </row>
    <row r="799">
      <c r="B799" s="10"/>
      <c r="C799" s="10"/>
      <c r="D799" s="10"/>
    </row>
    <row r="800">
      <c r="B800" s="10"/>
      <c r="C800" s="10"/>
      <c r="D800" s="10"/>
    </row>
    <row r="801">
      <c r="B801" s="10"/>
      <c r="C801" s="10"/>
      <c r="D801" s="10"/>
    </row>
    <row r="802">
      <c r="B802" s="10"/>
      <c r="C802" s="10"/>
      <c r="D802" s="10"/>
    </row>
    <row r="803">
      <c r="B803" s="10"/>
      <c r="C803" s="10"/>
      <c r="D803" s="10"/>
    </row>
    <row r="804">
      <c r="B804" s="10"/>
      <c r="C804" s="10"/>
      <c r="D804" s="10"/>
    </row>
    <row r="805">
      <c r="B805" s="10"/>
      <c r="C805" s="10"/>
      <c r="D805" s="10"/>
    </row>
    <row r="806">
      <c r="B806" s="10"/>
      <c r="C806" s="10"/>
      <c r="D806" s="10"/>
    </row>
    <row r="807">
      <c r="B807" s="10"/>
      <c r="C807" s="10"/>
      <c r="D807" s="10"/>
    </row>
    <row r="808">
      <c r="B808" s="10"/>
      <c r="C808" s="10"/>
      <c r="D808" s="10"/>
    </row>
    <row r="809">
      <c r="B809" s="10"/>
      <c r="C809" s="10"/>
      <c r="D809" s="10"/>
    </row>
    <row r="810">
      <c r="B810" s="10"/>
      <c r="C810" s="10"/>
      <c r="D810" s="10"/>
    </row>
    <row r="811">
      <c r="B811" s="10"/>
      <c r="C811" s="10"/>
      <c r="D811" s="10"/>
    </row>
    <row r="812">
      <c r="B812" s="10"/>
      <c r="C812" s="10"/>
      <c r="D812" s="10"/>
    </row>
    <row r="813">
      <c r="B813" s="10"/>
      <c r="C813" s="10"/>
      <c r="D813" s="10"/>
    </row>
    <row r="814">
      <c r="B814" s="10"/>
      <c r="C814" s="10"/>
      <c r="D814" s="10"/>
    </row>
    <row r="815">
      <c r="B815" s="10"/>
      <c r="C815" s="10"/>
      <c r="D815" s="10"/>
    </row>
    <row r="816">
      <c r="B816" s="10"/>
      <c r="C816" s="10"/>
      <c r="D816" s="10"/>
    </row>
    <row r="817">
      <c r="B817" s="10"/>
      <c r="C817" s="10"/>
      <c r="D817" s="10"/>
    </row>
    <row r="818">
      <c r="B818" s="10"/>
      <c r="C818" s="10"/>
      <c r="D818" s="10"/>
    </row>
    <row r="819">
      <c r="B819" s="10"/>
      <c r="C819" s="10"/>
      <c r="D819" s="10"/>
    </row>
    <row r="820">
      <c r="B820" s="10"/>
      <c r="C820" s="10"/>
      <c r="D820" s="10"/>
    </row>
    <row r="821">
      <c r="B821" s="10"/>
      <c r="C821" s="10"/>
      <c r="D821" s="10"/>
    </row>
    <row r="822">
      <c r="B822" s="10"/>
      <c r="C822" s="10"/>
      <c r="D822" s="10"/>
    </row>
    <row r="823">
      <c r="B823" s="10"/>
      <c r="C823" s="10"/>
      <c r="D823" s="10"/>
    </row>
    <row r="824">
      <c r="B824" s="10"/>
      <c r="C824" s="10"/>
      <c r="D824" s="10"/>
    </row>
    <row r="825">
      <c r="B825" s="10"/>
      <c r="C825" s="10"/>
      <c r="D825" s="10"/>
    </row>
    <row r="826">
      <c r="B826" s="10"/>
      <c r="C826" s="10"/>
      <c r="D826" s="10"/>
    </row>
    <row r="827">
      <c r="B827" s="10"/>
      <c r="C827" s="10"/>
      <c r="D827" s="10"/>
    </row>
    <row r="828">
      <c r="B828" s="10"/>
      <c r="C828" s="10"/>
      <c r="D828" s="10"/>
    </row>
    <row r="829">
      <c r="B829" s="10"/>
      <c r="C829" s="10"/>
      <c r="D829" s="10"/>
    </row>
    <row r="830">
      <c r="B830" s="10"/>
      <c r="C830" s="10"/>
      <c r="D830" s="10"/>
    </row>
    <row r="831">
      <c r="B831" s="10"/>
      <c r="C831" s="10"/>
      <c r="D831" s="10"/>
    </row>
    <row r="832">
      <c r="B832" s="10"/>
      <c r="C832" s="10"/>
      <c r="D832" s="10"/>
    </row>
    <row r="833">
      <c r="B833" s="10"/>
      <c r="C833" s="10"/>
      <c r="D833" s="10"/>
    </row>
    <row r="834">
      <c r="B834" s="10"/>
      <c r="C834" s="10"/>
      <c r="D834" s="10"/>
    </row>
    <row r="835">
      <c r="B835" s="10"/>
      <c r="C835" s="10"/>
      <c r="D835" s="10"/>
    </row>
    <row r="836">
      <c r="B836" s="10"/>
      <c r="C836" s="10"/>
      <c r="D836" s="10"/>
    </row>
    <row r="837">
      <c r="B837" s="10"/>
      <c r="C837" s="10"/>
      <c r="D837" s="10"/>
    </row>
    <row r="838">
      <c r="B838" s="10"/>
      <c r="C838" s="10"/>
      <c r="D838" s="10"/>
    </row>
    <row r="839">
      <c r="B839" s="10"/>
      <c r="C839" s="10"/>
      <c r="D839" s="10"/>
    </row>
    <row r="840">
      <c r="B840" s="10"/>
      <c r="C840" s="10"/>
      <c r="D840" s="10"/>
    </row>
    <row r="841">
      <c r="B841" s="10"/>
      <c r="C841" s="10"/>
      <c r="D841" s="10"/>
    </row>
    <row r="842">
      <c r="B842" s="10"/>
      <c r="C842" s="10"/>
      <c r="D842" s="10"/>
    </row>
    <row r="843">
      <c r="B843" s="10"/>
      <c r="C843" s="10"/>
      <c r="D843" s="10"/>
    </row>
    <row r="844">
      <c r="B844" s="10"/>
      <c r="C844" s="10"/>
      <c r="D844" s="10"/>
    </row>
    <row r="845">
      <c r="B845" s="10"/>
      <c r="C845" s="10"/>
      <c r="D845" s="10"/>
    </row>
    <row r="846">
      <c r="B846" s="10"/>
      <c r="C846" s="10"/>
      <c r="D846" s="10"/>
    </row>
    <row r="847">
      <c r="B847" s="10"/>
      <c r="C847" s="10"/>
      <c r="D847" s="10"/>
    </row>
    <row r="848">
      <c r="B848" s="10"/>
      <c r="C848" s="10"/>
      <c r="D848" s="10"/>
    </row>
    <row r="849">
      <c r="B849" s="10"/>
      <c r="C849" s="10"/>
      <c r="D849" s="10"/>
    </row>
    <row r="850">
      <c r="B850" s="10"/>
      <c r="C850" s="10"/>
      <c r="D850" s="10"/>
    </row>
    <row r="851">
      <c r="B851" s="10"/>
      <c r="C851" s="10"/>
      <c r="D851" s="10"/>
    </row>
    <row r="852">
      <c r="B852" s="10"/>
      <c r="C852" s="10"/>
      <c r="D852" s="10"/>
    </row>
    <row r="853">
      <c r="B853" s="10"/>
      <c r="C853" s="10"/>
      <c r="D853" s="10"/>
    </row>
    <row r="854">
      <c r="B854" s="10"/>
      <c r="C854" s="10"/>
      <c r="D854" s="10"/>
    </row>
    <row r="855">
      <c r="B855" s="10"/>
      <c r="C855" s="10"/>
      <c r="D855" s="10"/>
    </row>
    <row r="856">
      <c r="B856" s="10"/>
      <c r="C856" s="10"/>
      <c r="D856" s="10"/>
    </row>
    <row r="857">
      <c r="B857" s="10"/>
      <c r="C857" s="10"/>
      <c r="D857" s="10"/>
    </row>
    <row r="858">
      <c r="B858" s="10"/>
      <c r="C858" s="10"/>
      <c r="D858" s="10"/>
    </row>
    <row r="859">
      <c r="B859" s="10"/>
      <c r="C859" s="10"/>
      <c r="D859" s="10"/>
    </row>
    <row r="860">
      <c r="B860" s="10"/>
      <c r="C860" s="10"/>
      <c r="D860" s="10"/>
    </row>
    <row r="861">
      <c r="B861" s="10"/>
      <c r="C861" s="10"/>
      <c r="D861" s="10"/>
    </row>
    <row r="862">
      <c r="B862" s="10"/>
      <c r="C862" s="10"/>
      <c r="D862" s="10"/>
    </row>
    <row r="863">
      <c r="B863" s="10"/>
      <c r="C863" s="10"/>
      <c r="D863" s="10"/>
    </row>
    <row r="864">
      <c r="B864" s="10"/>
      <c r="C864" s="10"/>
      <c r="D864" s="10"/>
    </row>
    <row r="865">
      <c r="B865" s="10"/>
      <c r="C865" s="10"/>
      <c r="D865" s="10"/>
    </row>
    <row r="866">
      <c r="B866" s="10"/>
      <c r="C866" s="10"/>
      <c r="D866" s="10"/>
    </row>
    <row r="867">
      <c r="B867" s="10"/>
      <c r="C867" s="10"/>
      <c r="D867" s="10"/>
    </row>
    <row r="868">
      <c r="B868" s="10"/>
      <c r="C868" s="10"/>
      <c r="D868" s="10"/>
    </row>
    <row r="869">
      <c r="B869" s="10"/>
      <c r="C869" s="10"/>
      <c r="D869" s="10"/>
    </row>
    <row r="870">
      <c r="B870" s="10"/>
      <c r="C870" s="10"/>
      <c r="D870" s="10"/>
    </row>
    <row r="871">
      <c r="B871" s="10"/>
      <c r="C871" s="10"/>
      <c r="D871" s="10"/>
    </row>
    <row r="872">
      <c r="B872" s="10"/>
      <c r="C872" s="10"/>
      <c r="D872" s="10"/>
    </row>
    <row r="873">
      <c r="B873" s="10"/>
      <c r="C873" s="10"/>
      <c r="D873" s="10"/>
    </row>
    <row r="874">
      <c r="B874" s="10"/>
      <c r="C874" s="10"/>
      <c r="D874" s="10"/>
    </row>
    <row r="875">
      <c r="B875" s="10"/>
      <c r="C875" s="10"/>
      <c r="D875" s="10"/>
    </row>
    <row r="876">
      <c r="B876" s="10"/>
      <c r="C876" s="10"/>
      <c r="D876" s="10"/>
    </row>
    <row r="877">
      <c r="B877" s="10"/>
      <c r="C877" s="10"/>
      <c r="D877" s="10"/>
    </row>
    <row r="878">
      <c r="B878" s="10"/>
      <c r="C878" s="10"/>
      <c r="D878" s="10"/>
    </row>
    <row r="879">
      <c r="B879" s="10"/>
      <c r="C879" s="10"/>
      <c r="D879" s="10"/>
    </row>
    <row r="880">
      <c r="B880" s="10"/>
      <c r="C880" s="10"/>
      <c r="D880" s="10"/>
    </row>
    <row r="881">
      <c r="B881" s="10"/>
      <c r="C881" s="10"/>
      <c r="D881" s="10"/>
    </row>
    <row r="882">
      <c r="B882" s="10"/>
      <c r="C882" s="10"/>
      <c r="D882" s="10"/>
    </row>
    <row r="883">
      <c r="B883" s="10"/>
      <c r="C883" s="10"/>
      <c r="D883" s="10"/>
    </row>
    <row r="884">
      <c r="B884" s="10"/>
      <c r="C884" s="10"/>
      <c r="D884" s="10"/>
    </row>
    <row r="885">
      <c r="B885" s="10"/>
      <c r="C885" s="10"/>
      <c r="D885" s="10"/>
    </row>
    <row r="886">
      <c r="B886" s="10"/>
      <c r="C886" s="10"/>
      <c r="D886" s="10"/>
    </row>
    <row r="887">
      <c r="B887" s="10"/>
      <c r="C887" s="10"/>
      <c r="D887" s="10"/>
    </row>
    <row r="888">
      <c r="B888" s="10"/>
      <c r="C888" s="10"/>
      <c r="D888" s="10"/>
    </row>
    <row r="889">
      <c r="B889" s="10"/>
      <c r="C889" s="10"/>
      <c r="D889" s="10"/>
    </row>
    <row r="890">
      <c r="B890" s="10"/>
      <c r="C890" s="10"/>
      <c r="D890" s="10"/>
    </row>
    <row r="891">
      <c r="B891" s="10"/>
      <c r="C891" s="10"/>
      <c r="D891" s="10"/>
    </row>
    <row r="892">
      <c r="B892" s="10"/>
      <c r="C892" s="10"/>
      <c r="D892" s="10"/>
    </row>
    <row r="893">
      <c r="B893" s="10"/>
      <c r="C893" s="10"/>
      <c r="D893" s="10"/>
    </row>
    <row r="894">
      <c r="B894" s="10"/>
      <c r="C894" s="10"/>
      <c r="D894" s="10"/>
    </row>
    <row r="895">
      <c r="B895" s="10"/>
      <c r="C895" s="10"/>
      <c r="D895" s="10"/>
    </row>
    <row r="896">
      <c r="B896" s="10"/>
      <c r="C896" s="10"/>
      <c r="D896" s="10"/>
    </row>
    <row r="897">
      <c r="B897" s="10"/>
      <c r="C897" s="10"/>
      <c r="D897" s="10"/>
    </row>
    <row r="898">
      <c r="B898" s="10"/>
      <c r="C898" s="10"/>
      <c r="D898" s="10"/>
    </row>
    <row r="899">
      <c r="B899" s="10"/>
      <c r="C899" s="10"/>
      <c r="D899" s="10"/>
    </row>
    <row r="900">
      <c r="B900" s="10"/>
      <c r="C900" s="10"/>
      <c r="D900" s="10"/>
    </row>
    <row r="901">
      <c r="B901" s="10"/>
      <c r="C901" s="10"/>
      <c r="D901" s="10"/>
    </row>
    <row r="902">
      <c r="B902" s="10"/>
      <c r="C902" s="10"/>
      <c r="D902" s="10"/>
    </row>
    <row r="903">
      <c r="B903" s="10"/>
      <c r="C903" s="10"/>
      <c r="D903" s="10"/>
    </row>
    <row r="904">
      <c r="B904" s="10"/>
      <c r="C904" s="10"/>
      <c r="D904" s="10"/>
    </row>
    <row r="905">
      <c r="B905" s="10"/>
      <c r="C905" s="10"/>
      <c r="D905" s="10"/>
    </row>
    <row r="906">
      <c r="B906" s="10"/>
      <c r="C906" s="10"/>
      <c r="D906" s="10"/>
    </row>
    <row r="907">
      <c r="B907" s="10"/>
      <c r="C907" s="10"/>
      <c r="D907" s="10"/>
    </row>
    <row r="908">
      <c r="B908" s="10"/>
      <c r="C908" s="10"/>
      <c r="D908" s="10"/>
    </row>
    <row r="909">
      <c r="B909" s="10"/>
      <c r="C909" s="10"/>
      <c r="D909" s="10"/>
    </row>
    <row r="910">
      <c r="B910" s="10"/>
      <c r="C910" s="10"/>
      <c r="D910" s="10"/>
    </row>
    <row r="911">
      <c r="B911" s="10"/>
      <c r="C911" s="10"/>
      <c r="D911" s="10"/>
    </row>
    <row r="912">
      <c r="B912" s="10"/>
      <c r="C912" s="10"/>
      <c r="D912" s="10"/>
    </row>
    <row r="913">
      <c r="B913" s="10"/>
      <c r="C913" s="10"/>
      <c r="D913" s="10"/>
    </row>
    <row r="914">
      <c r="B914" s="10"/>
      <c r="C914" s="10"/>
      <c r="D914" s="10"/>
    </row>
    <row r="915">
      <c r="B915" s="10"/>
      <c r="C915" s="10"/>
      <c r="D915" s="10"/>
    </row>
    <row r="916">
      <c r="B916" s="10"/>
      <c r="C916" s="10"/>
      <c r="D916" s="10"/>
    </row>
    <row r="917">
      <c r="B917" s="10"/>
      <c r="C917" s="10"/>
      <c r="D917" s="10"/>
    </row>
    <row r="918">
      <c r="B918" s="10"/>
      <c r="C918" s="10"/>
      <c r="D918" s="10"/>
    </row>
    <row r="919">
      <c r="B919" s="10"/>
      <c r="C919" s="10"/>
      <c r="D919" s="10"/>
    </row>
    <row r="920">
      <c r="B920" s="10"/>
      <c r="C920" s="10"/>
      <c r="D920" s="10"/>
    </row>
    <row r="921">
      <c r="B921" s="10"/>
      <c r="C921" s="10"/>
      <c r="D921" s="10"/>
    </row>
    <row r="922">
      <c r="B922" s="10"/>
      <c r="C922" s="10"/>
      <c r="D922" s="10"/>
    </row>
    <row r="923">
      <c r="B923" s="10"/>
      <c r="C923" s="10"/>
      <c r="D923" s="10"/>
    </row>
    <row r="924">
      <c r="B924" s="10"/>
      <c r="C924" s="10"/>
      <c r="D924" s="10"/>
    </row>
    <row r="925">
      <c r="B925" s="10"/>
      <c r="C925" s="10"/>
      <c r="D925" s="10"/>
    </row>
    <row r="926">
      <c r="B926" s="10"/>
      <c r="C926" s="10"/>
      <c r="D926" s="10"/>
    </row>
    <row r="927">
      <c r="B927" s="10"/>
      <c r="C927" s="10"/>
      <c r="D927" s="10"/>
    </row>
    <row r="928">
      <c r="B928" s="10"/>
      <c r="C928" s="10"/>
      <c r="D928" s="10"/>
    </row>
    <row r="929">
      <c r="B929" s="10"/>
      <c r="C929" s="10"/>
      <c r="D929" s="10"/>
    </row>
    <row r="930">
      <c r="B930" s="10"/>
      <c r="C930" s="10"/>
      <c r="D930" s="10"/>
    </row>
    <row r="931">
      <c r="B931" s="10"/>
      <c r="C931" s="10"/>
      <c r="D931" s="10"/>
    </row>
    <row r="932">
      <c r="B932" s="10"/>
      <c r="C932" s="10"/>
      <c r="D932" s="10"/>
    </row>
    <row r="933">
      <c r="B933" s="10"/>
      <c r="C933" s="10"/>
      <c r="D933" s="10"/>
    </row>
    <row r="934">
      <c r="B934" s="10"/>
      <c r="C934" s="10"/>
      <c r="D934" s="10"/>
    </row>
    <row r="935">
      <c r="B935" s="10"/>
      <c r="C935" s="10"/>
      <c r="D935" s="10"/>
    </row>
    <row r="936">
      <c r="B936" s="10"/>
      <c r="C936" s="10"/>
      <c r="D936" s="10"/>
    </row>
    <row r="937">
      <c r="B937" s="10"/>
      <c r="C937" s="10"/>
      <c r="D937" s="10"/>
    </row>
    <row r="938">
      <c r="B938" s="10"/>
      <c r="C938" s="10"/>
      <c r="D938" s="10"/>
    </row>
    <row r="939">
      <c r="B939" s="10"/>
      <c r="C939" s="10"/>
      <c r="D939" s="10"/>
    </row>
    <row r="940">
      <c r="B940" s="10"/>
      <c r="C940" s="10"/>
      <c r="D940" s="10"/>
    </row>
    <row r="941">
      <c r="B941" s="10"/>
      <c r="C941" s="10"/>
      <c r="D941" s="10"/>
    </row>
    <row r="942">
      <c r="B942" s="10"/>
      <c r="C942" s="10"/>
      <c r="D942" s="10"/>
    </row>
    <row r="943">
      <c r="B943" s="10"/>
      <c r="C943" s="10"/>
      <c r="D943" s="10"/>
    </row>
    <row r="944">
      <c r="B944" s="10"/>
      <c r="C944" s="10"/>
      <c r="D944" s="10"/>
    </row>
    <row r="945">
      <c r="B945" s="10"/>
      <c r="C945" s="10"/>
      <c r="D945" s="10"/>
    </row>
    <row r="946">
      <c r="B946" s="10"/>
      <c r="C946" s="10"/>
      <c r="D946" s="10"/>
    </row>
    <row r="947">
      <c r="B947" s="10"/>
      <c r="C947" s="10"/>
      <c r="D947" s="10"/>
    </row>
    <row r="948">
      <c r="B948" s="10"/>
      <c r="C948" s="10"/>
      <c r="D948" s="10"/>
    </row>
    <row r="949">
      <c r="B949" s="10"/>
      <c r="C949" s="10"/>
      <c r="D949" s="10"/>
    </row>
    <row r="950">
      <c r="B950" s="10"/>
      <c r="C950" s="10"/>
      <c r="D950" s="10"/>
    </row>
    <row r="951">
      <c r="B951" s="10"/>
      <c r="C951" s="10"/>
      <c r="D951" s="10"/>
    </row>
    <row r="952">
      <c r="B952" s="10"/>
      <c r="C952" s="10"/>
      <c r="D952" s="10"/>
    </row>
    <row r="953">
      <c r="B953" s="10"/>
      <c r="C953" s="10"/>
      <c r="D953" s="10"/>
    </row>
    <row r="954">
      <c r="B954" s="10"/>
      <c r="C954" s="10"/>
      <c r="D954" s="10"/>
    </row>
    <row r="955">
      <c r="B955" s="10"/>
      <c r="C955" s="10"/>
      <c r="D955" s="10"/>
    </row>
    <row r="956">
      <c r="B956" s="10"/>
      <c r="C956" s="10"/>
      <c r="D956" s="10"/>
    </row>
    <row r="957">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row r="996">
      <c r="B996" s="10"/>
      <c r="C996" s="10"/>
      <c r="D996" s="10"/>
    </row>
    <row r="997">
      <c r="B997" s="10"/>
      <c r="C997" s="10"/>
      <c r="D997" s="10"/>
    </row>
    <row r="998">
      <c r="B998" s="10"/>
      <c r="C998" s="10"/>
      <c r="D998" s="10"/>
    </row>
    <row r="999">
      <c r="B999" s="10"/>
      <c r="C999" s="10"/>
      <c r="D999" s="10"/>
    </row>
    <row r="1000">
      <c r="B1000" s="10"/>
      <c r="C1000" s="10"/>
      <c r="D1000" s="10"/>
    </row>
    <row r="1001">
      <c r="B1001" s="10"/>
      <c r="C1001" s="10"/>
      <c r="D1001" s="10"/>
    </row>
    <row r="1002">
      <c r="B1002" s="10"/>
      <c r="C1002" s="10"/>
      <c r="D1002" s="10"/>
    </row>
    <row r="1003">
      <c r="B1003" s="10"/>
      <c r="C1003" s="10"/>
      <c r="D1003" s="10"/>
    </row>
  </sheetData>
  <mergeCells count="1">
    <mergeCell ref="A2:F2"/>
  </mergeCells>
  <dataValidations>
    <dataValidation type="custom" allowBlank="1" showDropDown="1" sqref="F4:F44">
      <formula1>OR(NOT(ISERROR(DATEVALUE(F4))), AND(ISNUMBER(F4), LEFT(CELL("format", F4))="D"))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9.63"/>
    <col customWidth="1" min="2" max="2" width="13.88"/>
    <col customWidth="1" min="3" max="3" width="24.0"/>
    <col customWidth="1" min="4" max="4" width="11.75"/>
    <col customWidth="1" min="5" max="5" width="14.5"/>
    <col customWidth="1" min="6" max="6" width="12.38"/>
    <col customWidth="1" min="7" max="7" width="16.75"/>
    <col customWidth="1" min="9" max="9" width="16.63"/>
    <col customWidth="1" min="10" max="10" width="41.88"/>
  </cols>
  <sheetData>
    <row r="1">
      <c r="A1" s="11" t="s">
        <v>83</v>
      </c>
      <c r="B1" s="12"/>
      <c r="C1" s="12"/>
      <c r="D1" s="12"/>
      <c r="E1" s="12"/>
      <c r="F1" s="12"/>
      <c r="G1" s="13"/>
      <c r="H1" s="14"/>
      <c r="I1" s="14"/>
      <c r="J1" s="14"/>
    </row>
    <row r="2">
      <c r="A2" s="12"/>
      <c r="H2" s="14"/>
      <c r="I2" s="14"/>
      <c r="J2" s="14"/>
    </row>
    <row r="3" ht="22.5" customHeight="1">
      <c r="A3" s="15" t="s">
        <v>1</v>
      </c>
      <c r="B3" s="15" t="s">
        <v>2</v>
      </c>
      <c r="C3" s="15" t="s">
        <v>84</v>
      </c>
      <c r="D3" s="15" t="s">
        <v>3</v>
      </c>
      <c r="E3" s="15" t="s">
        <v>85</v>
      </c>
      <c r="F3" s="15" t="s">
        <v>4</v>
      </c>
      <c r="G3" s="15" t="s">
        <v>86</v>
      </c>
      <c r="H3" s="15" t="s">
        <v>5</v>
      </c>
      <c r="I3" s="15" t="s">
        <v>6</v>
      </c>
      <c r="J3" s="16" t="s">
        <v>87</v>
      </c>
    </row>
    <row r="4" ht="22.5" customHeight="1">
      <c r="A4" s="17" t="str">
        <f>PROPER(TRIM(Raw_Data!A4))</f>
        <v>Doggie Chew Bone</v>
      </c>
      <c r="B4" s="18" t="str">
        <f>PROPER(TRIM(Raw_Data!B4))</f>
        <v>Chew Toys</v>
      </c>
      <c r="C4" s="19" t="str">
        <f t="shared" ref="C4:C44" si="1">IF(B4="Toy","Toys",
IF(B4="Toys","Toys",
IF(B4="Chew","Toys",
IF(B4="Chew Toys","Toys",
IF(B4="Treats","Treats",
IF(B4="Snacks","Treats",
IF(B4="Food","Food",
IF(B4="Leash","Walking",
IF(B4="Collar","Walking",
IF(B4="Harness","Walking",
IF(B4="Bed","Comfort",
IF(B4="Blanket","Comfort",
IF(B4="Shampoo","Grooming",
IF(B4="Toothpaste","Grooming",
IF(B4="Clippers","Grooming",
IF(B4="Grooming","Grooming",
IF(B4="Carrier","Accessories",
IF(B4="Jacket","Accessories",
IF(B4="Hat","Accessories",
IF(B4="Sweater","Accessories",
IF(B4="Raincoat","Accessories",
B4)))))))))))))))))))))</f>
        <v>Toys</v>
      </c>
      <c r="D4" s="19">
        <f>VALUE(SUBSTITUTE(TRIM(Raw_Data!C4), "$",""))</f>
        <v>12.99</v>
      </c>
      <c r="E4" s="18" t="str">
        <f>IF(C2="N/A","N/A",
IF(C2&lt;=10,"0-10",
IF(C2&lt;=20,"10-20",
IF(C2&lt;=30,"20-30","30+"))))</f>
        <v>0-10</v>
      </c>
      <c r="F4" s="18">
        <f>VALUE(TRIM(Raw_Data!D4))</f>
        <v>5</v>
      </c>
      <c r="G4" s="18" t="str">
        <f>IF(E2&lt;=5,"1-5",
IF(E2&lt;=10,"6-10",
IF(E2&lt;=15,"11-15","16+")))</f>
        <v>1-5</v>
      </c>
      <c r="H4" s="18" t="str">
        <f>PROPER(TRIM(Raw_Data!E4))</f>
        <v>Happypaws</v>
      </c>
      <c r="I4" s="20">
        <f>DATEVALUE(TRIM(Raw_Data!F4))</f>
        <v>46024</v>
      </c>
      <c r="J4" s="21" t="s">
        <v>88</v>
      </c>
    </row>
    <row r="5" ht="22.5" customHeight="1">
      <c r="A5" s="17" t="str">
        <f>PROPER(TRIM(Raw_Data!A5))</f>
        <v>Puppy Leash</v>
      </c>
      <c r="B5" s="18" t="str">
        <f>PROPER(TRIM(Raw_Data!B5))</f>
        <v>Leash</v>
      </c>
      <c r="C5" s="19" t="str">
        <f t="shared" si="1"/>
        <v>Walking</v>
      </c>
      <c r="D5" s="19">
        <f>VALUE(SUBSTITUTE(TRIM(Raw_Data!C5), "$",""))</f>
        <v>7.5</v>
      </c>
      <c r="E5" s="18" t="str">
        <f t="shared" ref="E5:E44" si="2">IF(D3="N/A","N/A",
IF(D3&lt;=10,"0-10",
IF(D3&lt;=20,"10-20",
IF(D3&lt;=30,"20-30","30+"))))</f>
        <v>30+</v>
      </c>
      <c r="F5" s="18">
        <f>VALUE(TRIM(Raw_Data!D5))</f>
        <v>10</v>
      </c>
      <c r="G5" s="18" t="str">
        <f t="shared" ref="G5:G44" si="3">IF(F3&lt;=5,"1-5",
IF(F3&lt;=10,"6-10",
IF(F3&lt;=15,"11-15","16+")))</f>
        <v>16+</v>
      </c>
      <c r="H5" s="18" t="str">
        <f>PROPER(TRIM(Raw_Data!E5))</f>
        <v>Dogworld</v>
      </c>
      <c r="I5" s="20">
        <f>DATEVALUE(TRIM(Raw_Data!F5))</f>
        <v>46027</v>
      </c>
      <c r="J5" s="21" t="s">
        <v>88</v>
      </c>
    </row>
    <row r="6" ht="22.5" customHeight="1">
      <c r="A6" s="17" t="str">
        <f>PROPER(TRIM(Raw_Data!A6))</f>
        <v>Dog Food Bag</v>
      </c>
      <c r="B6" s="18" t="str">
        <f>PROPER(TRIM(Raw_Data!B6))</f>
        <v>Food</v>
      </c>
      <c r="C6" s="19" t="str">
        <f t="shared" si="1"/>
        <v>Food</v>
      </c>
      <c r="D6" s="19">
        <f>VALUE(SUBSTITUTE(TRIM(Raw_Data!C6), "$",""))</f>
        <v>45</v>
      </c>
      <c r="E6" s="18" t="str">
        <f t="shared" si="2"/>
        <v>10-20</v>
      </c>
      <c r="F6" s="18">
        <f>VALUE(TRIM(Raw_Data!D6))</f>
        <v>2</v>
      </c>
      <c r="G6" s="18" t="str">
        <f t="shared" si="3"/>
        <v>1-5</v>
      </c>
      <c r="H6" s="18" t="str">
        <f>PROPER(TRIM(Raw_Data!E6))</f>
        <v>Petco</v>
      </c>
      <c r="I6" s="20">
        <f>DATEVALUE(TRIM(Raw_Data!F6))</f>
        <v>46029</v>
      </c>
      <c r="J6" s="21" t="s">
        <v>88</v>
      </c>
    </row>
    <row r="7" ht="22.5" customHeight="1">
      <c r="A7" s="17" t="str">
        <f>PROPER(TRIM(Raw_Data!A7))</f>
        <v>Dog Collar Large</v>
      </c>
      <c r="B7" s="18" t="str">
        <f>PROPER(TRIM(Raw_Data!B7))</f>
        <v>Collar</v>
      </c>
      <c r="C7" s="19" t="str">
        <f t="shared" si="1"/>
        <v>Walking</v>
      </c>
      <c r="D7" s="19">
        <f>VALUE(SUBSTITUTE(TRIM(Raw_Data!C7), "$",""))</f>
        <v>14.99</v>
      </c>
      <c r="E7" s="18" t="str">
        <f t="shared" si="2"/>
        <v>0-10</v>
      </c>
      <c r="F7" s="18">
        <f>VALUE(TRIM(Raw_Data!D7))</f>
        <v>8</v>
      </c>
      <c r="G7" s="18" t="str">
        <f t="shared" si="3"/>
        <v>6-10</v>
      </c>
      <c r="H7" s="18" t="str">
        <f>PROPER(TRIM(Raw_Data!E7))</f>
        <v>Paws N Claws</v>
      </c>
      <c r="I7" s="20">
        <f>DATEVALUE(TRIM(Raw_Data!F7))</f>
        <v>46032</v>
      </c>
      <c r="J7" s="21" t="s">
        <v>88</v>
      </c>
    </row>
    <row r="8" ht="22.5" customHeight="1">
      <c r="A8" s="17" t="str">
        <f>PROPER(TRIM(Raw_Data!A8))</f>
        <v>Dog Toy Squeaky</v>
      </c>
      <c r="B8" s="18" t="str">
        <f>PROPER(TRIM(Raw_Data!B8))</f>
        <v>Toy</v>
      </c>
      <c r="C8" s="19" t="str">
        <f t="shared" si="1"/>
        <v>Toys</v>
      </c>
      <c r="D8" s="19">
        <f>VALUE(SUBSTITUTE(TRIM(Raw_Data!C8), "$",""))</f>
        <v>8.5</v>
      </c>
      <c r="E8" s="18" t="str">
        <f t="shared" si="2"/>
        <v>30+</v>
      </c>
      <c r="F8" s="18">
        <f>VALUE(TRIM(Raw_Data!D8))</f>
        <v>12</v>
      </c>
      <c r="G8" s="18" t="str">
        <f t="shared" si="3"/>
        <v>1-5</v>
      </c>
      <c r="H8" s="18" t="str">
        <f>PROPER(TRIM(Raw_Data!E8))</f>
        <v>Doggiemart</v>
      </c>
      <c r="I8" s="20">
        <f>DATEVALUE(TRIM(Raw_Data!F8))</f>
        <v>46034</v>
      </c>
      <c r="J8" s="21" t="s">
        <v>88</v>
      </c>
    </row>
    <row r="9" ht="22.5" customHeight="1">
      <c r="A9" s="21" t="str">
        <f>PROPER(TRIM(Raw_Data!A9))</f>
        <v>Puppy Treats</v>
      </c>
      <c r="B9" s="18" t="str">
        <f>PROPER(TRIM(Raw_Data!B9))</f>
        <v>Treats</v>
      </c>
      <c r="C9" s="19" t="str">
        <f t="shared" si="1"/>
        <v>Treats</v>
      </c>
      <c r="D9" s="19">
        <f>VALUE(SUBSTITUTE(TRIM(Raw_Data!C9), "$",""))</f>
        <v>6.25</v>
      </c>
      <c r="E9" s="18" t="str">
        <f t="shared" si="2"/>
        <v>10-20</v>
      </c>
      <c r="F9" s="18">
        <f>VALUE(TRIM(Raw_Data!D9))</f>
        <v>15</v>
      </c>
      <c r="G9" s="18" t="str">
        <f t="shared" si="3"/>
        <v>6-10</v>
      </c>
      <c r="H9" s="18" t="str">
        <f>PROPER(TRIM(Raw_Data!E9))</f>
        <v>Furever</v>
      </c>
      <c r="I9" s="20">
        <f>DATEVALUE(TRIM(Raw_Data!F9))</f>
        <v>46037</v>
      </c>
      <c r="J9" s="21" t="s">
        <v>88</v>
      </c>
    </row>
    <row r="10" ht="22.5" customHeight="1">
      <c r="A10" s="17" t="str">
        <f>PROPER(TRIM(Raw_Data!A10))</f>
        <v>Dog Shampoo</v>
      </c>
      <c r="B10" s="18" t="str">
        <f>PROPER(TRIM(Raw_Data!B10))</f>
        <v>Shampoo</v>
      </c>
      <c r="C10" s="19" t="str">
        <f t="shared" si="1"/>
        <v>Grooming</v>
      </c>
      <c r="D10" s="19">
        <f>VALUE(SUBSTITUTE(TRIM(Raw_Data!C10), "$",""))</f>
        <v>10</v>
      </c>
      <c r="E10" s="18" t="str">
        <f t="shared" si="2"/>
        <v>0-10</v>
      </c>
      <c r="F10" s="18">
        <f>VALUE(TRIM(Raw_Data!D10))</f>
        <v>7</v>
      </c>
      <c r="G10" s="18" t="str">
        <f t="shared" si="3"/>
        <v>11-15</v>
      </c>
      <c r="H10" s="18" t="str">
        <f>PROPER(TRIM(Raw_Data!E10))</f>
        <v>Puppysupply</v>
      </c>
      <c r="I10" s="20">
        <f>DATEVALUE(TRIM(Raw_Data!F10))</f>
        <v>46040</v>
      </c>
      <c r="J10" s="21" t="s">
        <v>88</v>
      </c>
    </row>
    <row r="11" ht="22.5" customHeight="1">
      <c r="A11" s="17" t="str">
        <f>PROPER(TRIM(Raw_Data!A11))</f>
        <v>Chew Toy</v>
      </c>
      <c r="B11" s="18" t="str">
        <f>PROPER(TRIM(Raw_Data!B11))</f>
        <v>Toy</v>
      </c>
      <c r="C11" s="19" t="str">
        <f t="shared" si="1"/>
        <v>Toys</v>
      </c>
      <c r="D11" s="19">
        <f>VALUE(SUBSTITUTE(TRIM(Raw_Data!C11), "$",""))</f>
        <v>7.75</v>
      </c>
      <c r="E11" s="18" t="str">
        <f t="shared" si="2"/>
        <v>0-10</v>
      </c>
      <c r="F11" s="18">
        <f>VALUE(TRIM(Raw_Data!D11))</f>
        <v>6</v>
      </c>
      <c r="G11" s="18" t="str">
        <f t="shared" si="3"/>
        <v>11-15</v>
      </c>
      <c r="H11" s="18" t="str">
        <f>PROPER(TRIM(Raw_Data!E11))</f>
        <v>Pethub</v>
      </c>
      <c r="I11" s="20">
        <f>DATEVALUE(TRIM(Raw_Data!F11))</f>
        <v>46042</v>
      </c>
      <c r="J11" s="21" t="s">
        <v>88</v>
      </c>
    </row>
    <row r="12" ht="22.5" customHeight="1">
      <c r="A12" s="17" t="str">
        <f>PROPER(TRIM(Raw_Data!A12))</f>
        <v>Dog Harness</v>
      </c>
      <c r="B12" s="18" t="str">
        <f>PROPER(TRIM(Raw_Data!B12))</f>
        <v>Harness</v>
      </c>
      <c r="C12" s="19" t="str">
        <f t="shared" si="1"/>
        <v>Walking</v>
      </c>
      <c r="D12" s="19">
        <f>VALUE(SUBSTITUTE(TRIM(Raw_Data!C12), "$",""))</f>
        <v>15.99</v>
      </c>
      <c r="E12" s="18" t="str">
        <f t="shared" si="2"/>
        <v>0-10</v>
      </c>
      <c r="F12" s="18">
        <f>VALUE(TRIM(Raw_Data!D12))</f>
        <v>3</v>
      </c>
      <c r="G12" s="18" t="str">
        <f t="shared" si="3"/>
        <v>6-10</v>
      </c>
      <c r="H12" s="18" t="str">
        <f>PROPER(TRIM(Raw_Data!E12))</f>
        <v>Barkshop</v>
      </c>
      <c r="I12" s="20">
        <f>DATEVALUE(TRIM(Raw_Data!F12))</f>
        <v>46044</v>
      </c>
      <c r="J12" s="21" t="s">
        <v>88</v>
      </c>
    </row>
    <row r="13" ht="22.5" customHeight="1">
      <c r="A13" s="17" t="str">
        <f>PROPER(TRIM(Raw_Data!A13))</f>
        <v>Dog Bed Soft</v>
      </c>
      <c r="B13" s="18" t="str">
        <f>PROPER(TRIM(Raw_Data!B13))</f>
        <v>Bed</v>
      </c>
      <c r="C13" s="19" t="str">
        <f t="shared" si="1"/>
        <v>Comfort</v>
      </c>
      <c r="D13" s="19">
        <f>VALUE(SUBSTITUTE(TRIM(Raw_Data!C13), "$",""))</f>
        <v>35</v>
      </c>
      <c r="E13" s="18" t="str">
        <f t="shared" si="2"/>
        <v>0-10</v>
      </c>
      <c r="F13" s="18">
        <f>VALUE(TRIM(Raw_Data!D13))</f>
        <v>4</v>
      </c>
      <c r="G13" s="18" t="str">
        <f t="shared" si="3"/>
        <v>6-10</v>
      </c>
      <c r="H13" s="18" t="str">
        <f>PROPER(TRIM(Raw_Data!E13))</f>
        <v>Caninecorner</v>
      </c>
      <c r="I13" s="20">
        <f>DATEVALUE(TRIM(Raw_Data!F13))</f>
        <v>46047</v>
      </c>
      <c r="J13" s="21" t="s">
        <v>88</v>
      </c>
    </row>
    <row r="14" ht="22.5" customHeight="1">
      <c r="A14" s="17" t="str">
        <f>PROPER(TRIM(Raw_Data!A14))</f>
        <v>Dog Toothpaste</v>
      </c>
      <c r="B14" s="18" t="str">
        <f>PROPER(TRIM(Raw_Data!B14))</f>
        <v>Toothpaste</v>
      </c>
      <c r="C14" s="19" t="str">
        <f t="shared" si="1"/>
        <v>Grooming</v>
      </c>
      <c r="D14" s="19">
        <f>VALUE(SUBSTITUTE(TRIM(Raw_Data!C14), "$",""))</f>
        <v>5</v>
      </c>
      <c r="E14" s="18" t="str">
        <f t="shared" si="2"/>
        <v>10-20</v>
      </c>
      <c r="F14" s="18">
        <f>VALUE(TRIM(Raw_Data!D14))</f>
        <v>10</v>
      </c>
      <c r="G14" s="18" t="str">
        <f t="shared" si="3"/>
        <v>1-5</v>
      </c>
      <c r="H14" s="18" t="str">
        <f>PROPER(TRIM(Raw_Data!E14))</f>
        <v>Pupstore</v>
      </c>
      <c r="I14" s="20">
        <f>DATEVALUE(TRIM(Raw_Data!F14))</f>
        <v>46050</v>
      </c>
      <c r="J14" s="21" t="s">
        <v>88</v>
      </c>
    </row>
    <row r="15" ht="22.5" customHeight="1">
      <c r="A15" s="17" t="str">
        <f>PROPER(TRIM(Raw_Data!A15))</f>
        <v>Bone Toy</v>
      </c>
      <c r="B15" s="18" t="str">
        <f>PROPER(TRIM(Raw_Data!B15))</f>
        <v>Toy</v>
      </c>
      <c r="C15" s="19" t="str">
        <f t="shared" si="1"/>
        <v>Toys</v>
      </c>
      <c r="D15" s="19">
        <f>VALUE(SUBSTITUTE(TRIM(Raw_Data!C15), "$",""))</f>
        <v>6</v>
      </c>
      <c r="E15" s="18" t="str">
        <f t="shared" si="2"/>
        <v>30+</v>
      </c>
      <c r="F15" s="18">
        <f>VALUE(TRIM(Raw_Data!D15))</f>
        <v>9</v>
      </c>
      <c r="G15" s="18" t="str">
        <f t="shared" si="3"/>
        <v>1-5</v>
      </c>
      <c r="H15" s="18" t="str">
        <f>PROPER(TRIM(Raw_Data!E15))</f>
        <v>Doggiemart</v>
      </c>
      <c r="I15" s="20">
        <f>DATEVALUE(TRIM(Raw_Data!F15))</f>
        <v>46052</v>
      </c>
      <c r="J15" s="21" t="s">
        <v>88</v>
      </c>
    </row>
    <row r="16" ht="22.5" customHeight="1">
      <c r="A16" s="17" t="str">
        <f>PROPER(TRIM(Raw_Data!A16))</f>
        <v>Puppy Blanket</v>
      </c>
      <c r="B16" s="18" t="str">
        <f>PROPER(TRIM(Raw_Data!B16))</f>
        <v>Blanket</v>
      </c>
      <c r="C16" s="19" t="str">
        <f t="shared" si="1"/>
        <v>Comfort</v>
      </c>
      <c r="D16" s="19">
        <f>VALUE(SUBSTITUTE(TRIM(Raw_Data!C16), "$",""))</f>
        <v>20</v>
      </c>
      <c r="E16" s="18" t="str">
        <f t="shared" si="2"/>
        <v>0-10</v>
      </c>
      <c r="F16" s="18">
        <f>VALUE(TRIM(Raw_Data!D16))</f>
        <v>5</v>
      </c>
      <c r="G16" s="18" t="str">
        <f t="shared" si="3"/>
        <v>6-10</v>
      </c>
      <c r="H16" s="18" t="str">
        <f>PROPER(TRIM(Raw_Data!E16))</f>
        <v>Happypaws</v>
      </c>
      <c r="I16" s="20">
        <f>DATEVALUE(TRIM(Raw_Data!F16))</f>
        <v>46054</v>
      </c>
      <c r="J16" s="21" t="s">
        <v>88</v>
      </c>
    </row>
    <row r="17" ht="22.5" customHeight="1">
      <c r="A17" s="17" t="str">
        <f>PROPER(TRIM(Raw_Data!A17))</f>
        <v>Dog Jacket</v>
      </c>
      <c r="B17" s="18" t="str">
        <f>PROPER(TRIM(Raw_Data!B17))</f>
        <v>Jacket</v>
      </c>
      <c r="C17" s="19" t="str">
        <f t="shared" si="1"/>
        <v>Accessories</v>
      </c>
      <c r="D17" s="19">
        <f>VALUE(SUBSTITUTE(TRIM(Raw_Data!C17), "$",""))</f>
        <v>18.5</v>
      </c>
      <c r="E17" s="18" t="str">
        <f t="shared" si="2"/>
        <v>0-10</v>
      </c>
      <c r="F17" s="18">
        <f>VALUE(TRIM(Raw_Data!D17))</f>
        <v>2</v>
      </c>
      <c r="G17" s="18" t="str">
        <f t="shared" si="3"/>
        <v>6-10</v>
      </c>
      <c r="H17" s="18" t="str">
        <f>PROPER(TRIM(Raw_Data!E17))</f>
        <v>Petco</v>
      </c>
      <c r="I17" s="20">
        <f>DATEVALUE(TRIM(Raw_Data!F17))</f>
        <v>46056</v>
      </c>
      <c r="J17" s="21" t="s">
        <v>88</v>
      </c>
    </row>
    <row r="18" ht="22.5" customHeight="1">
      <c r="A18" s="17" t="str">
        <f>PROPER(TRIM(Raw_Data!A18))</f>
        <v>Squeaky Ball</v>
      </c>
      <c r="B18" s="18" t="str">
        <f>PROPER(TRIM(Raw_Data!B18))</f>
        <v>Toy</v>
      </c>
      <c r="C18" s="19" t="str">
        <f t="shared" si="1"/>
        <v>Toys</v>
      </c>
      <c r="D18" s="19">
        <f>VALUE(SUBSTITUTE(TRIM(Raw_Data!C18), "$",""))</f>
        <v>7</v>
      </c>
      <c r="E18" s="18" t="str">
        <f t="shared" si="2"/>
        <v>10-20</v>
      </c>
      <c r="F18" s="18">
        <f>VALUE(TRIM(Raw_Data!D18))</f>
        <v>11</v>
      </c>
      <c r="G18" s="18" t="str">
        <f t="shared" si="3"/>
        <v>1-5</v>
      </c>
      <c r="H18" s="18" t="str">
        <f>PROPER(TRIM(Raw_Data!E18))</f>
        <v>Barkshop</v>
      </c>
      <c r="I18" s="20">
        <f>DATEVALUE(TRIM(Raw_Data!F18))</f>
        <v>46058</v>
      </c>
      <c r="J18" s="21" t="s">
        <v>88</v>
      </c>
    </row>
    <row r="19" ht="22.5" customHeight="1">
      <c r="A19" s="17" t="str">
        <f>PROPER(TRIM(Raw_Data!A19))</f>
        <v>Dog Food Mini</v>
      </c>
      <c r="B19" s="18" t="str">
        <f>PROPER(TRIM(Raw_Data!B19))</f>
        <v>Food</v>
      </c>
      <c r="C19" s="19" t="str">
        <f t="shared" si="1"/>
        <v>Food</v>
      </c>
      <c r="D19" s="19">
        <f>VALUE(SUBSTITUTE(TRIM(Raw_Data!C19), "$",""))</f>
        <v>3.25</v>
      </c>
      <c r="E19" s="18" t="str">
        <f t="shared" si="2"/>
        <v>10-20</v>
      </c>
      <c r="F19" s="18">
        <f>VALUE(TRIM(Raw_Data!D19))</f>
        <v>8</v>
      </c>
      <c r="G19" s="18" t="str">
        <f t="shared" si="3"/>
        <v>1-5</v>
      </c>
      <c r="H19" s="18" t="str">
        <f>PROPER(TRIM(Raw_Data!E19))</f>
        <v>Paws N Claws</v>
      </c>
      <c r="I19" s="20">
        <f>DATEVALUE(TRIM(Raw_Data!F19))</f>
        <v>46060</v>
      </c>
      <c r="J19" s="21" t="s">
        <v>88</v>
      </c>
    </row>
    <row r="20" ht="22.5" customHeight="1">
      <c r="A20" s="17" t="str">
        <f>PROPER(TRIM(Raw_Data!A20))</f>
        <v>Dog Training Clicker</v>
      </c>
      <c r="B20" s="18" t="str">
        <f>PROPER(TRIM(Raw_Data!B20))</f>
        <v>Training</v>
      </c>
      <c r="C20" s="19" t="str">
        <f t="shared" si="1"/>
        <v>Training</v>
      </c>
      <c r="D20" s="19">
        <f>VALUE(SUBSTITUTE(TRIM(Raw_Data!C20), "$",""))</f>
        <v>2.5</v>
      </c>
      <c r="E20" s="18" t="str">
        <f t="shared" si="2"/>
        <v>0-10</v>
      </c>
      <c r="F20" s="18">
        <f>VALUE(TRIM(Raw_Data!D20))</f>
        <v>6</v>
      </c>
      <c r="G20" s="18" t="str">
        <f t="shared" si="3"/>
        <v>11-15</v>
      </c>
      <c r="H20" s="18" t="str">
        <f>PROPER(TRIM(Raw_Data!E20))</f>
        <v>Pethub</v>
      </c>
      <c r="I20" s="20">
        <f>DATEVALUE(TRIM(Raw_Data!F20))</f>
        <v>46063</v>
      </c>
      <c r="J20" s="21" t="s">
        <v>88</v>
      </c>
    </row>
    <row r="21" ht="22.5" customHeight="1">
      <c r="A21" s="17" t="str">
        <f>PROPER(TRIM(Raw_Data!A21))</f>
        <v>Chew Treat</v>
      </c>
      <c r="B21" s="18" t="str">
        <f>PROPER(TRIM(Raw_Data!B21))</f>
        <v>Treats</v>
      </c>
      <c r="C21" s="19" t="str">
        <f t="shared" si="1"/>
        <v>Treats</v>
      </c>
      <c r="D21" s="19">
        <f>VALUE(SUBSTITUTE(TRIM(Raw_Data!C21), "$",""))</f>
        <v>4</v>
      </c>
      <c r="E21" s="18" t="str">
        <f t="shared" si="2"/>
        <v>0-10</v>
      </c>
      <c r="F21" s="18">
        <f>VALUE(TRIM(Raw_Data!D21))</f>
        <v>14</v>
      </c>
      <c r="G21" s="18" t="str">
        <f t="shared" si="3"/>
        <v>6-10</v>
      </c>
      <c r="H21" s="18" t="str">
        <f>PROPER(TRIM(Raw_Data!E21))</f>
        <v>Furever</v>
      </c>
      <c r="I21" s="20">
        <f>DATEVALUE(TRIM(Raw_Data!F21))</f>
        <v>46065</v>
      </c>
      <c r="J21" s="21" t="s">
        <v>88</v>
      </c>
    </row>
    <row r="22" ht="22.5" customHeight="1">
      <c r="A22" s="17" t="str">
        <f>PROPER(TRIM(Raw_Data!A22))</f>
        <v>Dog Carrier Small</v>
      </c>
      <c r="B22" s="18" t="str">
        <f>PROPER(TRIM(Raw_Data!B22))</f>
        <v>Carrier</v>
      </c>
      <c r="C22" s="19" t="str">
        <f t="shared" si="1"/>
        <v>Accessories</v>
      </c>
      <c r="D22" s="19">
        <f>VALUE(SUBSTITUTE(TRIM(Raw_Data!C22), "$",""))</f>
        <v>22</v>
      </c>
      <c r="E22" s="18" t="str">
        <f t="shared" si="2"/>
        <v>0-10</v>
      </c>
      <c r="F22" s="18">
        <f>VALUE(TRIM(Raw_Data!D22))</f>
        <v>1</v>
      </c>
      <c r="G22" s="18" t="str">
        <f t="shared" si="3"/>
        <v>6-10</v>
      </c>
      <c r="H22" s="18" t="str">
        <f>PROPER(TRIM(Raw_Data!E22))</f>
        <v>Dogworld</v>
      </c>
      <c r="I22" s="20">
        <f>DATEVALUE(TRIM(Raw_Data!F22))</f>
        <v>46067</v>
      </c>
      <c r="J22" s="21" t="s">
        <v>88</v>
      </c>
    </row>
    <row r="23" ht="22.5" customHeight="1">
      <c r="A23" s="17" t="str">
        <f>PROPER(TRIM(Raw_Data!A23))</f>
        <v>Puppy Pad</v>
      </c>
      <c r="B23" s="18" t="str">
        <f>PROPER(TRIM(Raw_Data!B23))</f>
        <v>Pads</v>
      </c>
      <c r="C23" s="19" t="str">
        <f t="shared" si="1"/>
        <v>Pads</v>
      </c>
      <c r="D23" s="19">
        <f>VALUE(SUBSTITUTE(TRIM(Raw_Data!C23), "$",""))</f>
        <v>1.5</v>
      </c>
      <c r="E23" s="18" t="str">
        <f t="shared" si="2"/>
        <v>0-10</v>
      </c>
      <c r="F23" s="18">
        <f>VALUE(TRIM(Raw_Data!D23))</f>
        <v>20</v>
      </c>
      <c r="G23" s="18" t="str">
        <f t="shared" si="3"/>
        <v>11-15</v>
      </c>
      <c r="H23" s="18" t="str">
        <f>PROPER(TRIM(Raw_Data!E23))</f>
        <v>Puppysupply</v>
      </c>
      <c r="I23" s="20">
        <f>DATEVALUE(TRIM(Raw_Data!F23))</f>
        <v>46069</v>
      </c>
      <c r="J23" s="21" t="s">
        <v>88</v>
      </c>
    </row>
    <row r="24" ht="22.5" customHeight="1">
      <c r="A24" s="17" t="str">
        <f>PROPER(TRIM(Raw_Data!A24))</f>
        <v>Dog Grooming Brush</v>
      </c>
      <c r="B24" s="18" t="str">
        <f>PROPER(TRIM(Raw_Data!B24))</f>
        <v>Grooming</v>
      </c>
      <c r="C24" s="19" t="str">
        <f t="shared" si="1"/>
        <v>Grooming</v>
      </c>
      <c r="D24" s="19">
        <f>VALUE(SUBSTITUTE(TRIM(Raw_Data!C24), "$",""))</f>
        <v>9</v>
      </c>
      <c r="E24" s="18" t="str">
        <f t="shared" si="2"/>
        <v>20-30</v>
      </c>
      <c r="F24" s="18">
        <f>VALUE(TRIM(Raw_Data!D24))</f>
        <v>5</v>
      </c>
      <c r="G24" s="18" t="str">
        <f t="shared" si="3"/>
        <v>1-5</v>
      </c>
      <c r="H24" s="18" t="str">
        <f>PROPER(TRIM(Raw_Data!E24))</f>
        <v>Caninecorner</v>
      </c>
      <c r="I24" s="20">
        <f>DATEVALUE(TRIM(Raw_Data!F24))</f>
        <v>46071</v>
      </c>
      <c r="J24" s="21" t="s">
        <v>88</v>
      </c>
    </row>
    <row r="25" ht="22.5" customHeight="1">
      <c r="A25" s="17" t="str">
        <f>PROPER(TRIM(Raw_Data!A25))</f>
        <v>Dog Bowl Stainless</v>
      </c>
      <c r="B25" s="18" t="str">
        <f>PROPER(TRIM(Raw_Data!B25))</f>
        <v>Bowl</v>
      </c>
      <c r="C25" s="19" t="str">
        <f t="shared" si="1"/>
        <v>Bowl</v>
      </c>
      <c r="D25" s="19">
        <f>VALUE(SUBSTITUTE(TRIM(Raw_Data!C25), "$",""))</f>
        <v>25</v>
      </c>
      <c r="E25" s="18" t="str">
        <f t="shared" si="2"/>
        <v>0-10</v>
      </c>
      <c r="F25" s="18">
        <f>VALUE(TRIM(Raw_Data!D25))</f>
        <v>12</v>
      </c>
      <c r="G25" s="18" t="str">
        <f t="shared" si="3"/>
        <v>16+</v>
      </c>
      <c r="H25" s="18" t="str">
        <f>PROPER(TRIM(Raw_Data!E25))</f>
        <v>Doggiemart</v>
      </c>
      <c r="I25" s="20">
        <f>DATEVALUE(TRIM(Raw_Data!F25))</f>
        <v>46073</v>
      </c>
      <c r="J25" s="21" t="s">
        <v>88</v>
      </c>
    </row>
    <row r="26" ht="22.5" customHeight="1">
      <c r="A26" s="17" t="str">
        <f>PROPER(TRIM(Raw_Data!A26))</f>
        <v>Dog Treat Jar</v>
      </c>
      <c r="B26" s="18" t="str">
        <f>PROPER(TRIM(Raw_Data!B26))</f>
        <v>Treats</v>
      </c>
      <c r="C26" s="19" t="str">
        <f t="shared" si="1"/>
        <v>Treats</v>
      </c>
      <c r="D26" s="19">
        <f>VALUE(SUBSTITUTE(TRIM(Raw_Data!C26), "$",""))</f>
        <v>3</v>
      </c>
      <c r="E26" s="18" t="str">
        <f t="shared" si="2"/>
        <v>0-10</v>
      </c>
      <c r="F26" s="18">
        <f>VALUE(TRIM(Raw_Data!D26))</f>
        <v>10</v>
      </c>
      <c r="G26" s="18" t="str">
        <f t="shared" si="3"/>
        <v>1-5</v>
      </c>
      <c r="H26" s="18" t="str">
        <f>PROPER(TRIM(Raw_Data!E26))</f>
        <v>Happypaws</v>
      </c>
      <c r="I26" s="20">
        <f>DATEVALUE(TRIM(Raw_Data!F26))</f>
        <v>46075</v>
      </c>
      <c r="J26" s="21" t="s">
        <v>88</v>
      </c>
    </row>
    <row r="27" ht="22.5" customHeight="1">
      <c r="A27" s="17" t="str">
        <f>PROPER(TRIM(Raw_Data!A27))</f>
        <v>Puppy Chew Rope</v>
      </c>
      <c r="B27" s="18" t="str">
        <f>PROPER(TRIM(Raw_Data!B27))</f>
        <v>Chew</v>
      </c>
      <c r="C27" s="19" t="str">
        <f t="shared" si="1"/>
        <v>Toys</v>
      </c>
      <c r="D27" s="19">
        <f>VALUE(SUBSTITUTE(TRIM(Raw_Data!C27), "$",""))</f>
        <v>5.5</v>
      </c>
      <c r="E27" s="18" t="str">
        <f t="shared" si="2"/>
        <v>20-30</v>
      </c>
      <c r="F27" s="18">
        <f>VALUE(TRIM(Raw_Data!D27))</f>
        <v>7</v>
      </c>
      <c r="G27" s="18" t="str">
        <f t="shared" si="3"/>
        <v>11-15</v>
      </c>
      <c r="H27" s="18" t="str">
        <f>PROPER(TRIM(Raw_Data!E27))</f>
        <v>Petco</v>
      </c>
      <c r="I27" s="20">
        <f>DATEVALUE(TRIM(Raw_Data!F27))</f>
        <v>46077</v>
      </c>
      <c r="J27" s="21" t="s">
        <v>88</v>
      </c>
    </row>
    <row r="28" ht="22.5" customHeight="1">
      <c r="A28" s="17" t="str">
        <f>PROPER(TRIM(Raw_Data!A28))</f>
        <v>Dog Leash Retractable</v>
      </c>
      <c r="B28" s="18" t="str">
        <f>PROPER(TRIM(Raw_Data!B28))</f>
        <v>Leash</v>
      </c>
      <c r="C28" s="19" t="str">
        <f t="shared" si="1"/>
        <v>Walking</v>
      </c>
      <c r="D28" s="19">
        <f>VALUE(SUBSTITUTE(TRIM(Raw_Data!C28), "$",""))</f>
        <v>12</v>
      </c>
      <c r="E28" s="18" t="str">
        <f t="shared" si="2"/>
        <v>0-10</v>
      </c>
      <c r="F28" s="18">
        <f>VALUE(TRIM(Raw_Data!D28))</f>
        <v>8</v>
      </c>
      <c r="G28" s="18" t="str">
        <f t="shared" si="3"/>
        <v>6-10</v>
      </c>
      <c r="H28" s="18" t="str">
        <f>PROPER(TRIM(Raw_Data!E28))</f>
        <v>Barkshop</v>
      </c>
      <c r="I28" s="20">
        <f>DATEVALUE(TRIM(Raw_Data!F28))</f>
        <v>46079</v>
      </c>
      <c r="J28" s="21" t="s">
        <v>88</v>
      </c>
    </row>
    <row r="29" ht="22.5" customHeight="1">
      <c r="A29" s="17" t="str">
        <f>PROPER(TRIM(Raw_Data!A29))</f>
        <v>Dog Sweater</v>
      </c>
      <c r="B29" s="18" t="str">
        <f>PROPER(TRIM(Raw_Data!B29))</f>
        <v>Sweater</v>
      </c>
      <c r="C29" s="19" t="str">
        <f t="shared" si="1"/>
        <v>Accessories</v>
      </c>
      <c r="D29" s="19">
        <f>VALUE(SUBSTITUTE(TRIM(Raw_Data!C29), "$",""))</f>
        <v>8.25</v>
      </c>
      <c r="E29" s="18" t="str">
        <f t="shared" si="2"/>
        <v>0-10</v>
      </c>
      <c r="F29" s="18">
        <f>VALUE(TRIM(Raw_Data!D29))</f>
        <v>5</v>
      </c>
      <c r="G29" s="18" t="str">
        <f t="shared" si="3"/>
        <v>6-10</v>
      </c>
      <c r="H29" s="18" t="str">
        <f>PROPER(TRIM(Raw_Data!E29))</f>
        <v>Furever</v>
      </c>
      <c r="I29" s="20">
        <f>DATEVALUE(TRIM(Raw_Data!F29))</f>
        <v>46081</v>
      </c>
      <c r="J29" s="21" t="s">
        <v>88</v>
      </c>
    </row>
    <row r="30" ht="22.5" customHeight="1">
      <c r="A30" s="17" t="str">
        <f>PROPER(TRIM(Raw_Data!A30))</f>
        <v>Dog Hat</v>
      </c>
      <c r="B30" s="18" t="str">
        <f>PROPER(TRIM(Raw_Data!B30))</f>
        <v>Hat</v>
      </c>
      <c r="C30" s="19" t="str">
        <f t="shared" si="1"/>
        <v>Accessories</v>
      </c>
      <c r="D30" s="19">
        <f>VALUE(SUBSTITUTE(TRIM(Raw_Data!C30), "$",""))</f>
        <v>15</v>
      </c>
      <c r="E30" s="18" t="str">
        <f t="shared" si="2"/>
        <v>10-20</v>
      </c>
      <c r="F30" s="18">
        <f>VALUE(TRIM(Raw_Data!D30))</f>
        <v>6</v>
      </c>
      <c r="G30" s="18" t="str">
        <f t="shared" si="3"/>
        <v>6-10</v>
      </c>
      <c r="H30" s="18" t="str">
        <f>PROPER(TRIM(Raw_Data!E30))</f>
        <v>Puppysupply</v>
      </c>
      <c r="I30" s="20">
        <f>DATEVALUE(TRIM(Raw_Data!F30))</f>
        <v>46082</v>
      </c>
      <c r="J30" s="21" t="s">
        <v>88</v>
      </c>
    </row>
    <row r="31" ht="22.5" customHeight="1">
      <c r="A31" s="17" t="str">
        <f>PROPER(TRIM(Raw_Data!A31))</f>
        <v>Dog Blanket</v>
      </c>
      <c r="B31" s="18" t="str">
        <f>PROPER(TRIM(Raw_Data!B31))</f>
        <v>Blanket</v>
      </c>
      <c r="C31" s="19" t="str">
        <f t="shared" si="1"/>
        <v>Comfort</v>
      </c>
      <c r="D31" s="19">
        <f>VALUE(SUBSTITUTE(TRIM(Raw_Data!C31), "$",""))</f>
        <v>30</v>
      </c>
      <c r="E31" s="18" t="str">
        <f t="shared" si="2"/>
        <v>0-10</v>
      </c>
      <c r="F31" s="18">
        <f>VALUE(TRIM(Raw_Data!D31))</f>
        <v>4</v>
      </c>
      <c r="G31" s="18" t="str">
        <f t="shared" si="3"/>
        <v>1-5</v>
      </c>
      <c r="H31" s="18" t="str">
        <f>PROPER(TRIM(Raw_Data!E31))</f>
        <v>Paws N Claws</v>
      </c>
      <c r="I31" s="20">
        <f>DATEVALUE(TRIM(Raw_Data!F31))</f>
        <v>46084</v>
      </c>
      <c r="J31" s="21" t="s">
        <v>88</v>
      </c>
    </row>
    <row r="32" ht="22.5" customHeight="1">
      <c r="A32" s="17" t="str">
        <f>PROPER(TRIM(Raw_Data!A32))</f>
        <v>Dog Snack Bar</v>
      </c>
      <c r="B32" s="18" t="str">
        <f>PROPER(TRIM(Raw_Data!B32))</f>
        <v>Snacks</v>
      </c>
      <c r="C32" s="19" t="str">
        <f t="shared" si="1"/>
        <v>Treats</v>
      </c>
      <c r="D32" s="19">
        <f>VALUE(SUBSTITUTE(TRIM(Raw_Data!C32), "$",""))</f>
        <v>2.75</v>
      </c>
      <c r="E32" s="18" t="str">
        <f t="shared" si="2"/>
        <v>10-20</v>
      </c>
      <c r="F32" s="18">
        <f>VALUE(TRIM(Raw_Data!D32))</f>
        <v>9</v>
      </c>
      <c r="G32" s="18" t="str">
        <f t="shared" si="3"/>
        <v>6-10</v>
      </c>
      <c r="H32" s="18" t="str">
        <f>PROPER(TRIM(Raw_Data!E32))</f>
        <v>Caninecorner</v>
      </c>
      <c r="I32" s="20">
        <f>DATEVALUE(TRIM(Raw_Data!F32))</f>
        <v>46086</v>
      </c>
      <c r="J32" s="21" t="s">
        <v>88</v>
      </c>
    </row>
    <row r="33" ht="22.5" customHeight="1">
      <c r="A33" s="17" t="str">
        <f>PROPER(TRIM(Raw_Data!A33))</f>
        <v>Dog Water Bottle</v>
      </c>
      <c r="B33" s="18" t="str">
        <f>PROPER(TRIM(Raw_Data!B33))</f>
        <v>Water Bottle</v>
      </c>
      <c r="C33" s="19" t="str">
        <f t="shared" si="1"/>
        <v>Water Bottle</v>
      </c>
      <c r="D33" s="19">
        <f>VALUE(SUBSTITUTE(TRIM(Raw_Data!C33), "$",""))</f>
        <v>4.5</v>
      </c>
      <c r="E33" s="18" t="str">
        <f t="shared" si="2"/>
        <v>20-30</v>
      </c>
      <c r="F33" s="18">
        <f>VALUE(TRIM(Raw_Data!D33))</f>
        <v>3</v>
      </c>
      <c r="G33" s="18" t="str">
        <f t="shared" si="3"/>
        <v>1-5</v>
      </c>
      <c r="H33" s="18" t="str">
        <f>PROPER(TRIM(Raw_Data!E33))</f>
        <v>Pethub</v>
      </c>
      <c r="I33" s="20">
        <f>DATEVALUE(TRIM(Raw_Data!F33))</f>
        <v>46088</v>
      </c>
      <c r="J33" s="21" t="s">
        <v>88</v>
      </c>
    </row>
    <row r="34" ht="22.5" customHeight="1">
      <c r="A34" s="17" t="str">
        <f>PROPER(TRIM(Raw_Data!A34))</f>
        <v>Puppy Chew Stick</v>
      </c>
      <c r="B34" s="18" t="str">
        <f>PROPER(TRIM(Raw_Data!B34))</f>
        <v>Chew</v>
      </c>
      <c r="C34" s="19" t="str">
        <f t="shared" si="1"/>
        <v>Toys</v>
      </c>
      <c r="D34" s="19">
        <f>VALUE(SUBSTITUTE(TRIM(Raw_Data!C34), "$",""))</f>
        <v>20</v>
      </c>
      <c r="E34" s="18" t="str">
        <f t="shared" si="2"/>
        <v>0-10</v>
      </c>
      <c r="F34" s="18">
        <f>VALUE(TRIM(Raw_Data!D34))</f>
        <v>10</v>
      </c>
      <c r="G34" s="18" t="str">
        <f t="shared" si="3"/>
        <v>6-10</v>
      </c>
      <c r="H34" s="18" t="str">
        <f>PROPER(TRIM(Raw_Data!E34))</f>
        <v>Happypaws</v>
      </c>
      <c r="I34" s="20">
        <f>DATEVALUE(TRIM(Raw_Data!F34))</f>
        <v>46091</v>
      </c>
      <c r="J34" s="21" t="s">
        <v>88</v>
      </c>
    </row>
    <row r="35" ht="22.5" customHeight="1">
      <c r="A35" s="17" t="str">
        <f>PROPER(TRIM(Raw_Data!A35))</f>
        <v>Dog Bowl Large</v>
      </c>
      <c r="B35" s="18" t="str">
        <f>PROPER(TRIM(Raw_Data!B35))</f>
        <v>Bowl</v>
      </c>
      <c r="C35" s="19" t="str">
        <f t="shared" si="1"/>
        <v>Bowl</v>
      </c>
      <c r="D35" s="19">
        <f>VALUE(SUBSTITUTE(TRIM(Raw_Data!C35), "$",""))</f>
        <v>6</v>
      </c>
      <c r="E35" s="18" t="str">
        <f t="shared" si="2"/>
        <v>0-10</v>
      </c>
      <c r="F35" s="18">
        <f>VALUE(TRIM(Raw_Data!D35))</f>
        <v>8</v>
      </c>
      <c r="G35" s="18" t="str">
        <f t="shared" si="3"/>
        <v>1-5</v>
      </c>
      <c r="H35" s="18" t="str">
        <f>PROPER(TRIM(Raw_Data!E35))</f>
        <v>Dogworld</v>
      </c>
      <c r="I35" s="20">
        <f>DATEVALUE(TRIM(Raw_Data!F35))</f>
        <v>46093</v>
      </c>
      <c r="J35" s="21" t="s">
        <v>88</v>
      </c>
    </row>
    <row r="36" ht="22.5" customHeight="1">
      <c r="A36" s="17" t="str">
        <f>PROPER(TRIM(Raw_Data!A36))</f>
        <v>Dog Nail Clippers</v>
      </c>
      <c r="B36" s="18" t="str">
        <f>PROPER(TRIM(Raw_Data!B36))</f>
        <v>Clippers</v>
      </c>
      <c r="C36" s="19" t="str">
        <f t="shared" si="1"/>
        <v>Grooming</v>
      </c>
      <c r="D36" s="19">
        <f>VALUE(SUBSTITUTE(TRIM(Raw_Data!C36), "$",""))</f>
        <v>8</v>
      </c>
      <c r="E36" s="18" t="str">
        <f t="shared" si="2"/>
        <v>10-20</v>
      </c>
      <c r="F36" s="18">
        <f>VALUE(TRIM(Raw_Data!D36))</f>
        <v>6</v>
      </c>
      <c r="G36" s="18" t="str">
        <f t="shared" si="3"/>
        <v>6-10</v>
      </c>
      <c r="H36" s="18" t="str">
        <f>PROPER(TRIM(Raw_Data!E36))</f>
        <v>Petco</v>
      </c>
      <c r="I36" s="20">
        <f>DATEVALUE(TRIM(Raw_Data!F36))</f>
        <v>46095</v>
      </c>
      <c r="J36" s="21" t="s">
        <v>88</v>
      </c>
    </row>
    <row r="37" ht="22.5" customHeight="1">
      <c r="A37" s="17" t="str">
        <f>PROPER(TRIM(Raw_Data!A37))</f>
        <v>Puppy Toy Ball</v>
      </c>
      <c r="B37" s="18" t="str">
        <f>PROPER(TRIM(Raw_Data!B37))</f>
        <v>Toy</v>
      </c>
      <c r="C37" s="19" t="str">
        <f t="shared" si="1"/>
        <v>Toys</v>
      </c>
      <c r="D37" s="19">
        <f>VALUE(SUBSTITUTE(TRIM(Raw_Data!C37), "$",""))</f>
        <v>17</v>
      </c>
      <c r="E37" s="18" t="str">
        <f t="shared" si="2"/>
        <v>0-10</v>
      </c>
      <c r="F37" s="18">
        <f>VALUE(TRIM(Raw_Data!D37))</f>
        <v>12</v>
      </c>
      <c r="G37" s="18" t="str">
        <f t="shared" si="3"/>
        <v>6-10</v>
      </c>
      <c r="H37" s="18" t="str">
        <f>PROPER(TRIM(Raw_Data!E37))</f>
        <v>Barkshop</v>
      </c>
      <c r="I37" s="20">
        <f>DATEVALUE(TRIM(Raw_Data!F37))</f>
        <v>46097</v>
      </c>
      <c r="J37" s="21" t="s">
        <v>88</v>
      </c>
    </row>
    <row r="38" ht="22.5" customHeight="1">
      <c r="A38" s="17" t="str">
        <f>PROPER(TRIM(Raw_Data!A38))</f>
        <v>Dog Harness Adjustable</v>
      </c>
      <c r="B38" s="18" t="str">
        <f>PROPER(TRIM(Raw_Data!B38))</f>
        <v>Harness</v>
      </c>
      <c r="C38" s="19" t="str">
        <f t="shared" si="1"/>
        <v>Walking</v>
      </c>
      <c r="D38" s="19">
        <f>VALUE(SUBSTITUTE(TRIM(Raw_Data!C38), "$",""))</f>
        <v>22</v>
      </c>
      <c r="E38" s="18" t="str">
        <f t="shared" si="2"/>
        <v>0-10</v>
      </c>
      <c r="F38" s="18">
        <f>VALUE(TRIM(Raw_Data!D38))</f>
        <v>2</v>
      </c>
      <c r="G38" s="18" t="str">
        <f t="shared" si="3"/>
        <v>6-10</v>
      </c>
      <c r="H38" s="18" t="str">
        <f>PROPER(TRIM(Raw_Data!E38))</f>
        <v>Doggiemart</v>
      </c>
      <c r="I38" s="20">
        <f>DATEVALUE(TRIM(Raw_Data!F38))</f>
        <v>46099</v>
      </c>
      <c r="J38" s="21" t="s">
        <v>88</v>
      </c>
    </row>
    <row r="39" ht="22.5" customHeight="1">
      <c r="A39" s="17" t="str">
        <f>PROPER(TRIM(Raw_Data!A39))</f>
        <v>Dog Jacket Xl</v>
      </c>
      <c r="B39" s="18" t="str">
        <f>PROPER(TRIM(Raw_Data!B39))</f>
        <v>Jacket</v>
      </c>
      <c r="C39" s="19" t="str">
        <f t="shared" si="1"/>
        <v>Accessories</v>
      </c>
      <c r="D39" s="19">
        <f>VALUE(SUBSTITUTE(TRIM(Raw_Data!C39), "$",""))</f>
        <v>40</v>
      </c>
      <c r="E39" s="18" t="str">
        <f t="shared" si="2"/>
        <v>10-20</v>
      </c>
      <c r="F39" s="18">
        <f>VALUE(TRIM(Raw_Data!D39))</f>
        <v>5</v>
      </c>
      <c r="G39" s="18" t="str">
        <f t="shared" si="3"/>
        <v>11-15</v>
      </c>
      <c r="H39" s="18" t="str">
        <f>PROPER(TRIM(Raw_Data!E39))</f>
        <v>Furever</v>
      </c>
      <c r="I39" s="20">
        <f>DATEVALUE(TRIM(Raw_Data!F39))</f>
        <v>46101</v>
      </c>
      <c r="J39" s="21" t="s">
        <v>88</v>
      </c>
    </row>
    <row r="40" ht="22.5" customHeight="1">
      <c r="A40" s="17" t="str">
        <f>PROPER(TRIM(Raw_Data!A40))</f>
        <v>Dog Raincoat</v>
      </c>
      <c r="B40" s="18" t="str">
        <f>PROPER(TRIM(Raw_Data!B40))</f>
        <v>Raincoat</v>
      </c>
      <c r="C40" s="19" t="str">
        <f t="shared" si="1"/>
        <v>Accessories</v>
      </c>
      <c r="D40" s="19">
        <f>VALUE(SUBSTITUTE(TRIM(Raw_Data!C40), "$",""))</f>
        <v>3.25</v>
      </c>
      <c r="E40" s="18" t="str">
        <f t="shared" si="2"/>
        <v>20-30</v>
      </c>
      <c r="F40" s="18">
        <f>VALUE(TRIM(Raw_Data!D40))</f>
        <v>3</v>
      </c>
      <c r="G40" s="18" t="str">
        <f t="shared" si="3"/>
        <v>1-5</v>
      </c>
      <c r="H40" s="18" t="str">
        <f>PROPER(TRIM(Raw_Data!E40))</f>
        <v>Puppysupply</v>
      </c>
      <c r="I40" s="20">
        <f>DATEVALUE(TRIM(Raw_Data!F40))</f>
        <v>46103</v>
      </c>
      <c r="J40" s="21" t="s">
        <v>88</v>
      </c>
    </row>
    <row r="41" ht="22.5" customHeight="1">
      <c r="A41" s="17" t="str">
        <f>PROPER(TRIM(Raw_Data!A41))</f>
        <v>Dog Bed King</v>
      </c>
      <c r="B41" s="18" t="str">
        <f>PROPER(TRIM(Raw_Data!B41))</f>
        <v>Bed</v>
      </c>
      <c r="C41" s="19" t="str">
        <f t="shared" si="1"/>
        <v>Comfort</v>
      </c>
      <c r="D41" s="19">
        <f>VALUE(SUBSTITUTE(TRIM(Raw_Data!C41), "$",""))</f>
        <v>2.5</v>
      </c>
      <c r="E41" s="18" t="str">
        <f t="shared" si="2"/>
        <v>30+</v>
      </c>
      <c r="F41" s="18">
        <f>VALUE(TRIM(Raw_Data!D41))</f>
        <v>7</v>
      </c>
      <c r="G41" s="18" t="str">
        <f t="shared" si="3"/>
        <v>1-5</v>
      </c>
      <c r="H41" s="18" t="str">
        <f>PROPER(TRIM(Raw_Data!E41))</f>
        <v>Paws N Claws</v>
      </c>
      <c r="I41" s="20">
        <f>DATEVALUE(TRIM(Raw_Data!F41))</f>
        <v>46106</v>
      </c>
      <c r="J41" s="21" t="s">
        <v>88</v>
      </c>
    </row>
    <row r="42" ht="22.5" customHeight="1">
      <c r="A42" s="17" t="str">
        <f>PROPER(TRIM(Raw_Data!A42))</f>
        <v>Puppy Chew Ring</v>
      </c>
      <c r="B42" s="18" t="str">
        <f>PROPER(TRIM(Raw_Data!B42))</f>
        <v>Chew</v>
      </c>
      <c r="C42" s="19" t="str">
        <f t="shared" si="1"/>
        <v>Toys</v>
      </c>
      <c r="D42" s="19">
        <f>VALUE(SUBSTITUTE(TRIM(Raw_Data!C42), "$",""))</f>
        <v>10</v>
      </c>
      <c r="E42" s="18" t="str">
        <f t="shared" si="2"/>
        <v>0-10</v>
      </c>
      <c r="F42" s="18">
        <f>VALUE(TRIM(Raw_Data!D42))</f>
        <v>4</v>
      </c>
      <c r="G42" s="18" t="str">
        <f t="shared" si="3"/>
        <v>1-5</v>
      </c>
      <c r="H42" s="18" t="str">
        <f>PROPER(TRIM(Raw_Data!E42))</f>
        <v>Caninecorner</v>
      </c>
      <c r="I42" s="20">
        <f>DATEVALUE(TRIM(Raw_Data!F42))</f>
        <v>46108</v>
      </c>
      <c r="J42" s="21" t="s">
        <v>88</v>
      </c>
    </row>
    <row r="43" ht="22.5" customHeight="1">
      <c r="A43" s="17" t="str">
        <f>PROPER(TRIM(Raw_Data!A43))</f>
        <v>Dog Treat Box</v>
      </c>
      <c r="B43" s="18" t="str">
        <f>PROPER(TRIM(Raw_Data!B43))</f>
        <v>Treats</v>
      </c>
      <c r="C43" s="19" t="str">
        <f t="shared" si="1"/>
        <v>Treats</v>
      </c>
      <c r="D43" s="19">
        <f>VALUE(SUBSTITUTE(TRIM(Raw_Data!C43), "$",""))</f>
        <v>7</v>
      </c>
      <c r="E43" s="18" t="str">
        <f t="shared" si="2"/>
        <v>0-10</v>
      </c>
      <c r="F43" s="18">
        <f>VALUE(TRIM(Raw_Data!D43))</f>
        <v>15</v>
      </c>
      <c r="G43" s="18" t="str">
        <f t="shared" si="3"/>
        <v>6-10</v>
      </c>
      <c r="H43" s="18" t="str">
        <f>PROPER(TRIM(Raw_Data!E43))</f>
        <v>Pethub</v>
      </c>
      <c r="I43" s="20">
        <f>DATEVALUE(TRIM(Raw_Data!F43))</f>
        <v>46110</v>
      </c>
      <c r="J43" s="21" t="s">
        <v>88</v>
      </c>
    </row>
    <row r="44" ht="22.5" customHeight="1">
      <c r="A44" s="17" t="str">
        <f>PROPER(TRIM(Raw_Data!A44))</f>
        <v>Dog Collar Small</v>
      </c>
      <c r="B44" s="18" t="str">
        <f>PROPER(TRIM(Raw_Data!B44))</f>
        <v>Collar</v>
      </c>
      <c r="C44" s="19" t="str">
        <f t="shared" si="1"/>
        <v>Walking</v>
      </c>
      <c r="D44" s="22" t="s">
        <v>89</v>
      </c>
      <c r="E44" s="18" t="str">
        <f t="shared" si="2"/>
        <v>0-10</v>
      </c>
      <c r="F44" s="18">
        <f>VALUE(TRIM(Raw_Data!D44))</f>
        <v>8</v>
      </c>
      <c r="G44" s="18" t="str">
        <f t="shared" si="3"/>
        <v>1-5</v>
      </c>
      <c r="H44" s="18" t="str">
        <f>PROPER(TRIM(Raw_Data!E44))</f>
        <v>Dogworld</v>
      </c>
      <c r="I44" s="20">
        <f>DATEVALUE(TRIM(Raw_Data!F44))</f>
        <v>46112</v>
      </c>
      <c r="J44" s="21" t="s">
        <v>90</v>
      </c>
    </row>
  </sheetData>
  <mergeCells count="1">
    <mergeCell ref="A2:G2"/>
  </mergeCells>
  <dataValidations>
    <dataValidation type="custom" allowBlank="1" showDropDown="1" sqref="I4:I44">
      <formula1>OR(NOT(ISERROR(DATEVALUE(I4))), AND(ISNUMBER(I4), LEFT(CELL("format", I4))="D"))</formula1>
    </dataValidation>
    <dataValidation type="custom" allowBlank="1" showDropDown="1" sqref="D4:D44">
      <formula1>AND(ISNUMBER(D4),(NOT(OR(NOT(ISERROR(DATEVALUE(D4))), AND(ISNUMBER(D4), LEFT(CELL("format", D4))="D")))))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1.38"/>
    <col customWidth="1" min="9" max="9" width="21.63"/>
  </cols>
  <sheetData>
    <row r="1">
      <c r="A1" s="23" t="s">
        <v>91</v>
      </c>
    </row>
    <row r="2"/>
    <row r="3"/>
    <row r="4"/>
    <row r="5"/>
    <row r="6"/>
    <row r="7"/>
    <row r="8"/>
    <row r="9"/>
    <row r="10"/>
    <row r="11"/>
    <row r="12"/>
    <row r="13"/>
    <row r="14"/>
    <row r="21">
      <c r="A21" s="23" t="s">
        <v>105</v>
      </c>
    </row>
    <row r="26"/>
    <row r="27"/>
    <row r="28"/>
    <row r="29"/>
    <row r="30"/>
    <row r="31"/>
    <row r="41">
      <c r="A41" s="26"/>
    </row>
    <row r="42">
      <c r="A42" s="23" t="s">
        <v>110</v>
      </c>
    </row>
    <row r="47"/>
    <row r="48"/>
    <row r="49"/>
    <row r="50"/>
    <row r="51"/>
    <row r="52"/>
  </sheetData>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115</v>
      </c>
    </row>
    <row r="2">
      <c r="A2" s="28"/>
      <c r="B2" s="29"/>
      <c r="C2" s="29"/>
      <c r="D2" s="29"/>
      <c r="E2" s="29"/>
      <c r="F2" s="29"/>
      <c r="G2" s="29"/>
      <c r="H2" s="29"/>
      <c r="I2" s="29"/>
      <c r="J2" s="29"/>
      <c r="K2" s="29"/>
      <c r="L2" s="29"/>
      <c r="M2" s="29"/>
      <c r="N2" s="29"/>
      <c r="O2" s="29"/>
      <c r="P2" s="29"/>
      <c r="Q2" s="29"/>
      <c r="R2" s="29"/>
    </row>
    <row r="3">
      <c r="A3" s="28" t="s">
        <v>116</v>
      </c>
      <c r="B3" s="29"/>
      <c r="C3" s="29"/>
      <c r="D3" s="29"/>
      <c r="E3" s="29"/>
      <c r="F3" s="29"/>
      <c r="G3" s="29"/>
      <c r="H3" s="29"/>
      <c r="I3" s="29"/>
      <c r="J3" s="29"/>
      <c r="K3" s="29"/>
      <c r="L3" s="29"/>
      <c r="M3" s="29"/>
      <c r="N3" s="29"/>
      <c r="O3" s="29"/>
      <c r="P3" s="29"/>
      <c r="Q3" s="29"/>
      <c r="R3" s="29"/>
    </row>
    <row r="4">
      <c r="A4" s="23" t="s">
        <v>117</v>
      </c>
      <c r="B4" s="29"/>
      <c r="C4" s="29"/>
      <c r="D4" s="29"/>
      <c r="E4" s="29"/>
      <c r="F4" s="29"/>
      <c r="G4" s="29"/>
      <c r="H4" s="29"/>
      <c r="I4" s="29"/>
      <c r="J4" s="29"/>
      <c r="K4" s="29"/>
      <c r="L4" s="29"/>
      <c r="M4" s="29"/>
      <c r="N4" s="29"/>
      <c r="O4" s="29"/>
      <c r="P4" s="29"/>
      <c r="Q4" s="29"/>
      <c r="R4" s="29"/>
    </row>
    <row r="5">
      <c r="A5" s="29"/>
      <c r="B5" s="29"/>
      <c r="C5" s="29"/>
      <c r="D5" s="29"/>
      <c r="E5" s="29"/>
      <c r="F5" s="29"/>
      <c r="G5" s="29"/>
      <c r="H5" s="29"/>
      <c r="I5" s="29"/>
      <c r="J5" s="29"/>
      <c r="K5" s="29"/>
      <c r="L5" s="29"/>
      <c r="M5" s="29"/>
      <c r="N5" s="29"/>
      <c r="O5" s="29"/>
      <c r="P5" s="29"/>
      <c r="Q5" s="29"/>
      <c r="R5" s="29"/>
    </row>
    <row r="6">
      <c r="A6" s="28" t="s">
        <v>118</v>
      </c>
      <c r="B6" s="29"/>
      <c r="C6" s="29"/>
      <c r="D6" s="29"/>
      <c r="E6" s="29"/>
      <c r="F6" s="29"/>
      <c r="G6" s="29"/>
      <c r="H6" s="29"/>
      <c r="I6" s="29"/>
      <c r="J6" s="29"/>
      <c r="K6" s="29"/>
      <c r="L6" s="29"/>
      <c r="M6" s="29"/>
      <c r="N6" s="29"/>
      <c r="O6" s="29"/>
      <c r="P6" s="29"/>
      <c r="Q6" s="29"/>
      <c r="R6" s="29"/>
    </row>
    <row r="7">
      <c r="A7" s="23" t="s">
        <v>119</v>
      </c>
      <c r="B7" s="29"/>
      <c r="C7" s="29"/>
      <c r="D7" s="29"/>
      <c r="E7" s="29"/>
      <c r="F7" s="29"/>
      <c r="G7" s="29"/>
      <c r="H7" s="29"/>
      <c r="I7" s="29"/>
      <c r="J7" s="29"/>
      <c r="K7" s="29"/>
      <c r="L7" s="29"/>
      <c r="M7" s="29"/>
      <c r="N7" s="29"/>
      <c r="O7" s="29"/>
      <c r="P7" s="29"/>
      <c r="Q7" s="29"/>
      <c r="R7" s="29"/>
    </row>
    <row r="8">
      <c r="A8" s="29"/>
      <c r="B8" s="29"/>
      <c r="C8" s="29"/>
      <c r="D8" s="29"/>
      <c r="E8" s="29"/>
      <c r="F8" s="29"/>
      <c r="G8" s="29"/>
      <c r="H8" s="29"/>
      <c r="I8" s="29"/>
      <c r="J8" s="29"/>
      <c r="K8" s="29"/>
      <c r="L8" s="29"/>
      <c r="M8" s="29"/>
      <c r="N8" s="29"/>
      <c r="O8" s="29"/>
      <c r="P8" s="29"/>
      <c r="Q8" s="29"/>
      <c r="R8" s="29"/>
    </row>
    <row r="9">
      <c r="A9" s="23" t="s">
        <v>120</v>
      </c>
      <c r="B9" s="29"/>
      <c r="C9" s="29"/>
      <c r="D9" s="29"/>
      <c r="E9" s="29"/>
      <c r="F9" s="29"/>
      <c r="G9" s="29"/>
      <c r="H9" s="29"/>
      <c r="I9" s="29"/>
      <c r="J9" s="29"/>
      <c r="K9" s="29"/>
      <c r="L9" s="29"/>
      <c r="M9" s="29"/>
      <c r="N9" s="29"/>
      <c r="O9" s="29"/>
      <c r="P9" s="29"/>
      <c r="Q9" s="29"/>
      <c r="R9" s="29"/>
    </row>
    <row r="10">
      <c r="A10" s="23" t="s">
        <v>121</v>
      </c>
      <c r="B10" s="29"/>
      <c r="C10" s="29"/>
      <c r="D10" s="29"/>
      <c r="E10" s="29"/>
      <c r="F10" s="29"/>
      <c r="G10" s="29"/>
      <c r="H10" s="29"/>
      <c r="I10" s="29"/>
      <c r="J10" s="29"/>
      <c r="K10" s="29"/>
      <c r="L10" s="29"/>
      <c r="M10" s="29"/>
      <c r="N10" s="29"/>
      <c r="O10" s="29"/>
      <c r="P10" s="29"/>
      <c r="Q10" s="29"/>
      <c r="R10" s="29"/>
    </row>
    <row r="11">
      <c r="A11" s="23" t="s">
        <v>122</v>
      </c>
      <c r="B11" s="29"/>
      <c r="C11" s="29"/>
      <c r="D11" s="29"/>
      <c r="E11" s="29"/>
      <c r="F11" s="29"/>
      <c r="G11" s="29"/>
      <c r="H11" s="29"/>
      <c r="I11" s="29"/>
      <c r="J11" s="29"/>
      <c r="K11" s="29"/>
      <c r="L11" s="29"/>
      <c r="M11" s="29"/>
      <c r="N11" s="29"/>
      <c r="O11" s="29"/>
      <c r="P11" s="29"/>
      <c r="Q11" s="29"/>
      <c r="R11" s="29"/>
    </row>
    <row r="12">
      <c r="A12" s="23" t="s">
        <v>123</v>
      </c>
      <c r="B12" s="29"/>
      <c r="C12" s="29"/>
      <c r="D12" s="29"/>
      <c r="E12" s="29"/>
      <c r="F12" s="29"/>
      <c r="G12" s="29"/>
      <c r="H12" s="29"/>
      <c r="I12" s="29"/>
      <c r="J12" s="29"/>
      <c r="K12" s="29"/>
      <c r="L12" s="29"/>
      <c r="M12" s="29"/>
      <c r="N12" s="29"/>
      <c r="O12" s="29"/>
      <c r="P12" s="29"/>
      <c r="Q12" s="29"/>
      <c r="R12" s="29"/>
    </row>
    <row r="13">
      <c r="A13" s="23" t="s">
        <v>124</v>
      </c>
      <c r="B13" s="29"/>
      <c r="C13" s="29"/>
      <c r="D13" s="29"/>
      <c r="E13" s="29"/>
      <c r="F13" s="29"/>
      <c r="G13" s="29"/>
      <c r="H13" s="29"/>
      <c r="I13" s="29"/>
      <c r="J13" s="29"/>
      <c r="K13" s="29"/>
      <c r="L13" s="29"/>
      <c r="M13" s="29"/>
      <c r="N13" s="29"/>
      <c r="O13" s="29"/>
      <c r="P13" s="29"/>
      <c r="Q13" s="29"/>
      <c r="R13" s="29"/>
    </row>
    <row r="14">
      <c r="A14" s="23" t="s">
        <v>125</v>
      </c>
      <c r="B14" s="29"/>
      <c r="C14" s="29"/>
      <c r="D14" s="29"/>
      <c r="E14" s="29"/>
      <c r="F14" s="29"/>
      <c r="G14" s="29"/>
      <c r="H14" s="29"/>
      <c r="I14" s="29"/>
      <c r="J14" s="29"/>
      <c r="K14" s="29"/>
      <c r="L14" s="29"/>
      <c r="M14" s="29"/>
      <c r="N14" s="29"/>
      <c r="O14" s="29"/>
      <c r="P14" s="29"/>
      <c r="Q14" s="29"/>
      <c r="R14" s="29"/>
    </row>
    <row r="15">
      <c r="A15" s="29"/>
      <c r="B15" s="29"/>
      <c r="C15" s="29"/>
      <c r="D15" s="29"/>
      <c r="E15" s="29"/>
      <c r="F15" s="29"/>
      <c r="G15" s="29"/>
      <c r="H15" s="29"/>
      <c r="I15" s="29"/>
      <c r="J15" s="29"/>
      <c r="K15" s="29"/>
      <c r="L15" s="29"/>
      <c r="M15" s="29"/>
      <c r="N15" s="29"/>
      <c r="O15" s="29"/>
      <c r="P15" s="29"/>
      <c r="Q15" s="29"/>
      <c r="R15" s="29"/>
    </row>
    <row r="16">
      <c r="A16" s="23" t="s">
        <v>126</v>
      </c>
      <c r="B16" s="29"/>
      <c r="C16" s="29"/>
      <c r="D16" s="29"/>
      <c r="E16" s="29"/>
      <c r="F16" s="29"/>
      <c r="G16" s="29"/>
      <c r="H16" s="29"/>
      <c r="I16" s="29"/>
      <c r="J16" s="29"/>
      <c r="K16" s="29"/>
      <c r="L16" s="29"/>
      <c r="M16" s="29"/>
      <c r="N16" s="29"/>
      <c r="O16" s="29"/>
      <c r="P16" s="29"/>
      <c r="Q16" s="29"/>
      <c r="R16" s="29"/>
    </row>
    <row r="17">
      <c r="A17" s="29"/>
      <c r="B17" s="29"/>
      <c r="C17" s="29"/>
      <c r="D17" s="29"/>
      <c r="E17" s="29"/>
      <c r="F17" s="29"/>
      <c r="G17" s="29"/>
      <c r="H17" s="29"/>
      <c r="I17" s="29"/>
      <c r="J17" s="29"/>
      <c r="K17" s="29"/>
      <c r="L17" s="29"/>
      <c r="M17" s="29"/>
      <c r="N17" s="29"/>
      <c r="O17" s="29"/>
      <c r="P17" s="29"/>
      <c r="Q17" s="29"/>
      <c r="R17" s="29"/>
    </row>
    <row r="18">
      <c r="A18" s="28" t="s">
        <v>127</v>
      </c>
      <c r="B18" s="29"/>
      <c r="C18" s="29"/>
      <c r="D18" s="29"/>
      <c r="E18" s="29"/>
      <c r="F18" s="29"/>
      <c r="G18" s="29"/>
      <c r="H18" s="29"/>
      <c r="I18" s="29"/>
      <c r="J18" s="29"/>
      <c r="K18" s="29"/>
      <c r="L18" s="29"/>
      <c r="M18" s="29"/>
      <c r="N18" s="29"/>
      <c r="O18" s="29"/>
      <c r="P18" s="29"/>
      <c r="Q18" s="29"/>
      <c r="R18" s="29"/>
    </row>
    <row r="19">
      <c r="A19" s="23" t="s">
        <v>128</v>
      </c>
      <c r="B19" s="29"/>
      <c r="C19" s="29"/>
      <c r="D19" s="29"/>
      <c r="E19" s="29"/>
      <c r="F19" s="29"/>
      <c r="G19" s="29"/>
      <c r="H19" s="29"/>
      <c r="I19" s="29"/>
      <c r="J19" s="29"/>
      <c r="K19" s="29"/>
      <c r="L19" s="29"/>
      <c r="M19" s="29"/>
      <c r="N19" s="29"/>
      <c r="O19" s="29"/>
      <c r="P19" s="29"/>
      <c r="Q19" s="29"/>
      <c r="R19" s="29"/>
    </row>
    <row r="20">
      <c r="A20" s="23" t="s">
        <v>129</v>
      </c>
      <c r="B20" s="29"/>
      <c r="C20" s="29"/>
      <c r="D20" s="29"/>
      <c r="E20" s="29"/>
      <c r="F20" s="29"/>
      <c r="G20" s="29"/>
      <c r="H20" s="29"/>
      <c r="I20" s="29"/>
      <c r="J20" s="29"/>
      <c r="K20" s="29"/>
      <c r="L20" s="29"/>
      <c r="M20" s="29"/>
      <c r="N20" s="29"/>
      <c r="O20" s="29"/>
      <c r="P20" s="29"/>
      <c r="Q20" s="29"/>
      <c r="R20" s="29"/>
    </row>
    <row r="21">
      <c r="A21" s="23" t="s">
        <v>130</v>
      </c>
      <c r="B21" s="29"/>
      <c r="C21" s="29"/>
      <c r="D21" s="29"/>
      <c r="E21" s="29"/>
      <c r="F21" s="29"/>
      <c r="G21" s="29"/>
      <c r="H21" s="29"/>
      <c r="I21" s="29"/>
      <c r="J21" s="29"/>
      <c r="K21" s="29"/>
      <c r="L21" s="29"/>
      <c r="M21" s="29"/>
      <c r="N21" s="29"/>
      <c r="O21" s="29"/>
      <c r="P21" s="29"/>
      <c r="Q21" s="29"/>
      <c r="R21" s="29"/>
    </row>
    <row r="22">
      <c r="A22" s="23" t="s">
        <v>131</v>
      </c>
      <c r="B22" s="29"/>
      <c r="C22" s="29"/>
      <c r="D22" s="29"/>
      <c r="E22" s="29"/>
      <c r="F22" s="29"/>
      <c r="G22" s="29"/>
      <c r="H22" s="29"/>
      <c r="I22" s="29"/>
      <c r="J22" s="29"/>
      <c r="K22" s="29"/>
      <c r="L22" s="29"/>
      <c r="M22" s="29"/>
      <c r="N22" s="29"/>
      <c r="O22" s="29"/>
      <c r="P22" s="29"/>
      <c r="Q22" s="29"/>
      <c r="R22" s="29"/>
    </row>
    <row r="23">
      <c r="A23" s="28"/>
      <c r="B23" s="29"/>
      <c r="C23" s="29"/>
      <c r="D23" s="29"/>
      <c r="E23" s="29"/>
      <c r="F23" s="29"/>
      <c r="G23" s="29"/>
      <c r="H23" s="29"/>
      <c r="I23" s="29"/>
      <c r="J23" s="29"/>
      <c r="K23" s="29"/>
      <c r="L23" s="29"/>
      <c r="M23" s="29"/>
      <c r="N23" s="29"/>
      <c r="O23" s="29"/>
      <c r="P23" s="29"/>
      <c r="Q23" s="29"/>
      <c r="R23" s="29"/>
    </row>
    <row r="24">
      <c r="A24" s="28" t="s">
        <v>132</v>
      </c>
      <c r="B24" s="29"/>
      <c r="C24" s="29"/>
      <c r="D24" s="29"/>
      <c r="E24" s="29"/>
      <c r="F24" s="29"/>
      <c r="G24" s="29"/>
      <c r="H24" s="29"/>
      <c r="I24" s="29"/>
      <c r="J24" s="29"/>
      <c r="K24" s="29"/>
      <c r="L24" s="29"/>
      <c r="M24" s="29"/>
      <c r="N24" s="29"/>
      <c r="O24" s="29"/>
      <c r="P24" s="29"/>
      <c r="Q24" s="29"/>
      <c r="R24" s="29"/>
    </row>
    <row r="25">
      <c r="A25" s="23" t="s">
        <v>133</v>
      </c>
      <c r="B25" s="29"/>
      <c r="C25" s="29"/>
      <c r="D25" s="29"/>
      <c r="E25" s="29"/>
      <c r="F25" s="29"/>
      <c r="G25" s="29"/>
      <c r="H25" s="29"/>
      <c r="I25" s="29"/>
      <c r="J25" s="29"/>
      <c r="K25" s="29"/>
      <c r="L25" s="29"/>
      <c r="M25" s="29"/>
      <c r="N25" s="29"/>
      <c r="O25" s="29"/>
      <c r="P25" s="29"/>
      <c r="Q25" s="29"/>
      <c r="R25" s="29"/>
    </row>
    <row r="26">
      <c r="A26" s="23" t="s">
        <v>134</v>
      </c>
      <c r="B26" s="29"/>
      <c r="C26" s="29"/>
      <c r="D26" s="29"/>
      <c r="E26" s="29"/>
      <c r="F26" s="29"/>
      <c r="G26" s="29"/>
      <c r="H26" s="29"/>
      <c r="I26" s="29"/>
      <c r="J26" s="29"/>
      <c r="K26" s="29"/>
      <c r="L26" s="29"/>
      <c r="M26" s="29"/>
      <c r="N26" s="29"/>
      <c r="O26" s="29"/>
      <c r="P26" s="29"/>
      <c r="Q26" s="29"/>
      <c r="R26" s="29"/>
    </row>
    <row r="27">
      <c r="A27" s="23" t="s">
        <v>135</v>
      </c>
      <c r="B27" s="29"/>
      <c r="C27" s="29"/>
      <c r="D27" s="29"/>
      <c r="E27" s="29"/>
      <c r="F27" s="29"/>
      <c r="G27" s="29"/>
      <c r="H27" s="29"/>
      <c r="I27" s="29"/>
      <c r="J27" s="29"/>
      <c r="K27" s="29"/>
      <c r="L27" s="29"/>
      <c r="M27" s="29"/>
      <c r="N27" s="29"/>
      <c r="O27" s="29"/>
      <c r="P27" s="29"/>
      <c r="Q27" s="29"/>
      <c r="R27" s="29"/>
    </row>
    <row r="28">
      <c r="A28" s="28"/>
      <c r="B28" s="29"/>
      <c r="C28" s="29"/>
      <c r="D28" s="29"/>
      <c r="E28" s="29"/>
      <c r="F28" s="29"/>
      <c r="G28" s="29"/>
      <c r="H28" s="29"/>
      <c r="I28" s="29"/>
      <c r="J28" s="29"/>
      <c r="K28" s="29"/>
      <c r="L28" s="29"/>
      <c r="M28" s="29"/>
      <c r="N28" s="29"/>
      <c r="O28" s="29"/>
      <c r="P28" s="29"/>
      <c r="Q28" s="29"/>
      <c r="R28" s="29"/>
    </row>
    <row r="29">
      <c r="A29" s="28" t="s">
        <v>136</v>
      </c>
      <c r="B29" s="29"/>
      <c r="C29" s="29"/>
      <c r="D29" s="29"/>
      <c r="E29" s="29"/>
      <c r="F29" s="29"/>
      <c r="G29" s="29"/>
      <c r="H29" s="29"/>
      <c r="I29" s="29"/>
      <c r="J29" s="29"/>
      <c r="K29" s="29"/>
      <c r="L29" s="29"/>
      <c r="M29" s="29"/>
      <c r="N29" s="29"/>
      <c r="O29" s="29"/>
      <c r="P29" s="29"/>
      <c r="Q29" s="29"/>
      <c r="R29" s="29"/>
    </row>
    <row r="30">
      <c r="A30" s="23" t="s">
        <v>137</v>
      </c>
      <c r="B30" s="29"/>
      <c r="C30" s="29"/>
      <c r="D30" s="29"/>
      <c r="E30" s="29"/>
      <c r="F30" s="29"/>
      <c r="G30" s="29"/>
      <c r="H30" s="29"/>
      <c r="I30" s="29"/>
      <c r="J30" s="29"/>
      <c r="K30" s="29"/>
      <c r="L30" s="29"/>
      <c r="M30" s="29"/>
      <c r="N30" s="29"/>
      <c r="O30" s="29"/>
      <c r="P30" s="29"/>
      <c r="Q30" s="29"/>
      <c r="R30" s="29"/>
    </row>
    <row r="31">
      <c r="A31" s="23" t="s">
        <v>138</v>
      </c>
      <c r="B31" s="29"/>
      <c r="C31" s="29"/>
      <c r="D31" s="29"/>
      <c r="E31" s="29"/>
      <c r="F31" s="29"/>
      <c r="G31" s="29"/>
      <c r="H31" s="29"/>
      <c r="I31" s="29"/>
      <c r="J31" s="29"/>
      <c r="K31" s="29"/>
      <c r="L31" s="29"/>
      <c r="M31" s="29"/>
      <c r="N31" s="29"/>
      <c r="O31" s="29"/>
      <c r="P31" s="29"/>
      <c r="Q31" s="29"/>
      <c r="R31" s="29"/>
    </row>
    <row r="32">
      <c r="A32" s="23" t="s">
        <v>139</v>
      </c>
      <c r="B32" s="29"/>
      <c r="C32" s="29"/>
      <c r="D32" s="29"/>
      <c r="E32" s="29"/>
      <c r="F32" s="29"/>
      <c r="G32" s="29"/>
      <c r="H32" s="29"/>
      <c r="I32" s="29"/>
      <c r="J32" s="29"/>
      <c r="K32" s="29"/>
      <c r="L32" s="29"/>
      <c r="M32" s="29"/>
      <c r="N32" s="29"/>
      <c r="O32" s="29"/>
      <c r="P32" s="29"/>
      <c r="Q32" s="29"/>
      <c r="R32" s="29"/>
    </row>
    <row r="33">
      <c r="A33" s="28"/>
      <c r="B33" s="29"/>
      <c r="C33" s="29"/>
      <c r="D33" s="29"/>
      <c r="E33" s="29"/>
      <c r="F33" s="29"/>
      <c r="G33" s="29"/>
      <c r="H33" s="29"/>
      <c r="I33" s="29"/>
      <c r="J33" s="29"/>
      <c r="K33" s="29"/>
      <c r="L33" s="29"/>
      <c r="M33" s="29"/>
      <c r="N33" s="29"/>
      <c r="O33" s="29"/>
      <c r="P33" s="29"/>
      <c r="Q33" s="29"/>
      <c r="R33" s="29"/>
    </row>
    <row r="34">
      <c r="A34" s="28" t="s">
        <v>140</v>
      </c>
      <c r="B34" s="29"/>
      <c r="C34" s="29"/>
      <c r="D34" s="29"/>
      <c r="E34" s="29"/>
      <c r="F34" s="29"/>
      <c r="G34" s="29"/>
      <c r="H34" s="29"/>
      <c r="I34" s="29"/>
      <c r="J34" s="29"/>
      <c r="K34" s="29"/>
      <c r="L34" s="29"/>
      <c r="M34" s="29"/>
      <c r="N34" s="29"/>
      <c r="O34" s="29"/>
      <c r="P34" s="29"/>
      <c r="Q34" s="29"/>
      <c r="R34" s="29"/>
    </row>
    <row r="35">
      <c r="A35" s="23" t="s">
        <v>141</v>
      </c>
      <c r="B35" s="29"/>
      <c r="C35" s="29"/>
      <c r="D35" s="29"/>
      <c r="E35" s="29"/>
      <c r="F35" s="29"/>
      <c r="G35" s="29"/>
      <c r="H35" s="29"/>
      <c r="I35" s="29"/>
      <c r="J35" s="29"/>
      <c r="K35" s="29"/>
      <c r="L35" s="29"/>
      <c r="M35" s="29"/>
      <c r="N35" s="29"/>
      <c r="O35" s="29"/>
      <c r="P35" s="29"/>
      <c r="Q35" s="29"/>
      <c r="R35" s="29"/>
    </row>
    <row r="36">
      <c r="A36" s="23" t="s">
        <v>142</v>
      </c>
      <c r="B36" s="29"/>
      <c r="C36" s="29"/>
      <c r="D36" s="29"/>
      <c r="E36" s="29"/>
      <c r="F36" s="29"/>
      <c r="G36" s="29"/>
      <c r="H36" s="29"/>
      <c r="I36" s="29"/>
      <c r="J36" s="29"/>
      <c r="K36" s="29"/>
      <c r="L36" s="29"/>
      <c r="M36" s="29"/>
      <c r="N36" s="29"/>
      <c r="O36" s="29"/>
      <c r="P36" s="29"/>
      <c r="Q36" s="29"/>
      <c r="R36" s="29"/>
    </row>
    <row r="37">
      <c r="A37" s="23" t="s">
        <v>143</v>
      </c>
      <c r="B37" s="29"/>
      <c r="C37" s="29"/>
      <c r="D37" s="29"/>
      <c r="E37" s="29"/>
      <c r="F37" s="29"/>
      <c r="G37" s="29"/>
      <c r="H37" s="29"/>
      <c r="I37" s="29"/>
      <c r="J37" s="29"/>
      <c r="K37" s="29"/>
      <c r="L37" s="29"/>
      <c r="M37" s="29"/>
      <c r="N37" s="29"/>
      <c r="O37" s="29"/>
      <c r="P37" s="29"/>
      <c r="Q37" s="29"/>
      <c r="R37" s="29"/>
    </row>
    <row r="38">
      <c r="A38" s="28"/>
      <c r="B38" s="29"/>
      <c r="C38" s="29"/>
      <c r="D38" s="29"/>
      <c r="E38" s="29"/>
      <c r="F38" s="29"/>
      <c r="G38" s="29"/>
      <c r="H38" s="29"/>
      <c r="I38" s="29"/>
      <c r="J38" s="29"/>
      <c r="K38" s="29"/>
      <c r="L38" s="29"/>
      <c r="M38" s="29"/>
      <c r="N38" s="29"/>
      <c r="O38" s="29"/>
      <c r="P38" s="29"/>
      <c r="Q38" s="29"/>
      <c r="R38" s="29"/>
    </row>
    <row r="39">
      <c r="A39" s="28" t="s">
        <v>144</v>
      </c>
      <c r="B39" s="29"/>
      <c r="C39" s="29"/>
      <c r="D39" s="29"/>
      <c r="E39" s="29"/>
      <c r="F39" s="29"/>
      <c r="G39" s="29"/>
      <c r="H39" s="29"/>
      <c r="I39" s="29"/>
      <c r="J39" s="29"/>
      <c r="K39" s="29"/>
      <c r="L39" s="29"/>
      <c r="M39" s="29"/>
      <c r="N39" s="29"/>
      <c r="O39" s="29"/>
      <c r="P39" s="29"/>
      <c r="Q39" s="29"/>
      <c r="R39" s="29"/>
    </row>
    <row r="40">
      <c r="A40" s="23" t="s">
        <v>145</v>
      </c>
      <c r="B40" s="29"/>
      <c r="C40" s="29"/>
      <c r="D40" s="29"/>
      <c r="E40" s="29"/>
      <c r="F40" s="29"/>
      <c r="G40" s="29"/>
      <c r="H40" s="29"/>
      <c r="I40" s="29"/>
      <c r="J40" s="29"/>
      <c r="K40" s="29"/>
      <c r="L40" s="29"/>
      <c r="M40" s="29"/>
      <c r="N40" s="29"/>
      <c r="O40" s="29"/>
      <c r="P40" s="29"/>
      <c r="Q40" s="29"/>
      <c r="R40" s="29"/>
    </row>
    <row r="41">
      <c r="A41" s="23" t="s">
        <v>146</v>
      </c>
      <c r="B41" s="29"/>
      <c r="C41" s="29"/>
      <c r="D41" s="29"/>
      <c r="E41" s="29"/>
      <c r="F41" s="29"/>
      <c r="G41" s="29"/>
      <c r="H41" s="29"/>
      <c r="I41" s="29"/>
      <c r="J41" s="29"/>
      <c r="K41" s="29"/>
      <c r="L41" s="29"/>
      <c r="M41" s="29"/>
      <c r="N41" s="29"/>
      <c r="O41" s="29"/>
      <c r="P41" s="29"/>
      <c r="Q41" s="29"/>
      <c r="R41" s="29"/>
    </row>
    <row r="42">
      <c r="A42" s="23" t="s">
        <v>147</v>
      </c>
      <c r="B42" s="29"/>
      <c r="C42" s="29"/>
      <c r="D42" s="29"/>
      <c r="E42" s="29"/>
      <c r="F42" s="29"/>
      <c r="G42" s="29"/>
      <c r="H42" s="29"/>
      <c r="I42" s="29"/>
      <c r="J42" s="29"/>
      <c r="K42" s="29"/>
      <c r="L42" s="29"/>
      <c r="M42" s="29"/>
      <c r="N42" s="29"/>
      <c r="O42" s="29"/>
      <c r="P42" s="29"/>
      <c r="Q42" s="29"/>
      <c r="R42" s="29"/>
    </row>
    <row r="43">
      <c r="A43" s="23" t="s">
        <v>148</v>
      </c>
      <c r="B43" s="29"/>
      <c r="C43" s="29"/>
      <c r="D43" s="29"/>
      <c r="E43" s="29"/>
      <c r="F43" s="29"/>
      <c r="G43" s="29"/>
      <c r="H43" s="29"/>
      <c r="I43" s="29"/>
      <c r="J43" s="29"/>
      <c r="K43" s="29"/>
      <c r="L43" s="29"/>
      <c r="M43" s="29"/>
      <c r="N43" s="29"/>
      <c r="O43" s="29"/>
      <c r="P43" s="29"/>
      <c r="Q43" s="29"/>
      <c r="R43" s="29"/>
    </row>
    <row r="44">
      <c r="A44" s="28"/>
      <c r="B44" s="29"/>
      <c r="C44" s="29"/>
      <c r="D44" s="29"/>
      <c r="E44" s="29"/>
      <c r="F44" s="29"/>
      <c r="G44" s="29"/>
      <c r="H44" s="29"/>
      <c r="I44" s="29"/>
      <c r="J44" s="29"/>
      <c r="K44" s="29"/>
      <c r="L44" s="29"/>
      <c r="M44" s="29"/>
      <c r="N44" s="29"/>
      <c r="O44" s="29"/>
      <c r="P44" s="29"/>
      <c r="Q44" s="29"/>
      <c r="R44" s="29"/>
    </row>
    <row r="45">
      <c r="A45" s="28" t="s">
        <v>149</v>
      </c>
      <c r="B45" s="29"/>
      <c r="C45" s="29"/>
      <c r="D45" s="29"/>
      <c r="E45" s="29"/>
      <c r="F45" s="29"/>
      <c r="G45" s="29"/>
      <c r="H45" s="29"/>
      <c r="I45" s="29"/>
      <c r="J45" s="29"/>
      <c r="K45" s="29"/>
      <c r="L45" s="29"/>
      <c r="M45" s="29"/>
      <c r="N45" s="29"/>
      <c r="O45" s="29"/>
      <c r="P45" s="29"/>
      <c r="Q45" s="29"/>
      <c r="R45" s="29"/>
    </row>
    <row r="46">
      <c r="A46" s="23" t="s">
        <v>150</v>
      </c>
      <c r="B46" s="29"/>
      <c r="C46" s="29"/>
      <c r="D46" s="29"/>
      <c r="E46" s="29"/>
      <c r="F46" s="29"/>
      <c r="G46" s="29"/>
      <c r="H46" s="29"/>
      <c r="I46" s="29"/>
      <c r="J46" s="29"/>
      <c r="K46" s="29"/>
      <c r="L46" s="29"/>
      <c r="M46" s="29"/>
      <c r="N46" s="29"/>
      <c r="O46" s="29"/>
      <c r="P46" s="29"/>
      <c r="Q46" s="29"/>
      <c r="R46" s="29"/>
    </row>
    <row r="47">
      <c r="A47" s="29"/>
      <c r="B47" s="29"/>
      <c r="C47" s="29"/>
      <c r="D47" s="29"/>
      <c r="E47" s="29"/>
      <c r="F47" s="29"/>
      <c r="G47" s="29"/>
      <c r="H47" s="29"/>
      <c r="I47" s="29"/>
      <c r="J47" s="29"/>
      <c r="K47" s="29"/>
      <c r="L47" s="29"/>
      <c r="M47" s="29"/>
      <c r="N47" s="29"/>
      <c r="O47" s="29"/>
      <c r="P47" s="29"/>
      <c r="Q47" s="29"/>
      <c r="R47" s="29"/>
    </row>
    <row r="48">
      <c r="A48" s="29"/>
      <c r="B48" s="29"/>
      <c r="C48" s="29"/>
      <c r="D48" s="29"/>
      <c r="E48" s="29"/>
      <c r="F48" s="29"/>
      <c r="G48" s="29"/>
      <c r="H48" s="29"/>
      <c r="I48" s="29"/>
      <c r="J48" s="29"/>
      <c r="K48" s="29"/>
      <c r="L48" s="29"/>
      <c r="M48" s="29"/>
      <c r="N48" s="29"/>
      <c r="O48" s="29"/>
      <c r="P48" s="29"/>
      <c r="Q48" s="29"/>
      <c r="R48" s="29"/>
    </row>
    <row r="49">
      <c r="A49" s="29"/>
      <c r="B49" s="29"/>
      <c r="C49" s="29"/>
      <c r="D49" s="29"/>
      <c r="E49" s="29"/>
      <c r="F49" s="29"/>
      <c r="G49" s="29"/>
      <c r="H49" s="29"/>
      <c r="I49" s="29"/>
      <c r="J49" s="29"/>
      <c r="K49" s="29"/>
      <c r="L49" s="29"/>
      <c r="M49" s="29"/>
      <c r="N49" s="29"/>
      <c r="O49" s="29"/>
      <c r="P49" s="29"/>
      <c r="Q49" s="29"/>
      <c r="R49" s="29"/>
    </row>
    <row r="50">
      <c r="A50" s="29"/>
      <c r="B50" s="29"/>
      <c r="C50" s="29"/>
      <c r="D50" s="29"/>
      <c r="E50" s="29"/>
      <c r="F50" s="29"/>
      <c r="G50" s="29"/>
      <c r="H50" s="29"/>
      <c r="I50" s="29"/>
      <c r="J50" s="29"/>
      <c r="K50" s="29"/>
      <c r="L50" s="29"/>
      <c r="M50" s="29"/>
      <c r="N50" s="29"/>
      <c r="O50" s="29"/>
      <c r="P50" s="29"/>
      <c r="Q50" s="29"/>
      <c r="R50" s="29"/>
    </row>
  </sheetData>
  <drawing r:id="rId1"/>
</worksheet>
</file>